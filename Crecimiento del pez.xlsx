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\Desktop\U\METODOS NUMERICOS\DESAFIO PEZ - CRECIMIENTO DE UN ORGANISMO\"/>
    </mc:Choice>
  </mc:AlternateContent>
  <xr:revisionPtr revIDLastSave="0" documentId="13_ncr:1_{0FA26C30-A9EA-4093-B771-F40B10491F87}" xr6:coauthVersionLast="47" xr6:coauthVersionMax="47" xr10:uidLastSave="{00000000-0000-0000-0000-000000000000}"/>
  <bookViews>
    <workbookView xWindow="-120" yWindow="-120" windowWidth="29040" windowHeight="15990" xr2:uid="{CE41A964-0447-4B7C-8762-74CC1F248B88}"/>
  </bookViews>
  <sheets>
    <sheet name="Heun_Pez" sheetId="2" r:id="rId1"/>
    <sheet name="Euler_Pez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3" l="1"/>
  <c r="B14" i="3"/>
  <c r="C14" i="3" s="1"/>
  <c r="A14" i="3"/>
  <c r="D14" i="3" s="1"/>
  <c r="H37" i="2"/>
  <c r="A15" i="2"/>
  <c r="D15" i="2" s="1"/>
  <c r="H14" i="2"/>
  <c r="D14" i="2"/>
  <c r="B14" i="2"/>
  <c r="A14" i="2"/>
  <c r="A15" i="3" l="1"/>
  <c r="D15" i="3" s="1"/>
  <c r="F14" i="3"/>
  <c r="E14" i="3"/>
  <c r="B15" i="3" s="1"/>
  <c r="H15" i="2"/>
  <c r="A16" i="2"/>
  <c r="D16" i="2" s="1"/>
  <c r="C14" i="2"/>
  <c r="A16" i="3" l="1"/>
  <c r="D16" i="3" s="1"/>
  <c r="F15" i="3"/>
  <c r="C15" i="3"/>
  <c r="E15" i="3" s="1"/>
  <c r="B16" i="3" s="1"/>
  <c r="G14" i="3"/>
  <c r="H14" i="3" s="1"/>
  <c r="I14" i="3" s="1"/>
  <c r="G14" i="2"/>
  <c r="A17" i="2"/>
  <c r="D17" i="2" s="1"/>
  <c r="H16" i="2"/>
  <c r="E14" i="2"/>
  <c r="F14" i="2" s="1"/>
  <c r="C16" i="3" l="1"/>
  <c r="E16" i="3" s="1"/>
  <c r="B17" i="3" s="1"/>
  <c r="F16" i="3"/>
  <c r="A17" i="3"/>
  <c r="D17" i="3" s="1"/>
  <c r="G15" i="3"/>
  <c r="H15" i="3" s="1"/>
  <c r="I15" i="3" s="1"/>
  <c r="A18" i="2"/>
  <c r="D18" i="2" s="1"/>
  <c r="H17" i="2"/>
  <c r="B15" i="2"/>
  <c r="I14" i="2"/>
  <c r="J14" i="2" s="1"/>
  <c r="K14" i="2" s="1"/>
  <c r="E17" i="3" l="1"/>
  <c r="B18" i="3" s="1"/>
  <c r="C17" i="3"/>
  <c r="A18" i="3"/>
  <c r="D18" i="3" s="1"/>
  <c r="F17" i="3"/>
  <c r="G16" i="3"/>
  <c r="H16" i="3" s="1"/>
  <c r="I16" i="3" s="1"/>
  <c r="C15" i="2"/>
  <c r="H18" i="2"/>
  <c r="A19" i="2"/>
  <c r="D19" i="2" s="1"/>
  <c r="G17" i="3" l="1"/>
  <c r="H17" i="3" s="1"/>
  <c r="I17" i="3" s="1"/>
  <c r="A19" i="3"/>
  <c r="D19" i="3" s="1"/>
  <c r="F18" i="3"/>
  <c r="C18" i="3"/>
  <c r="E18" i="3"/>
  <c r="B19" i="3" s="1"/>
  <c r="G15" i="2"/>
  <c r="E15" i="2"/>
  <c r="F15" i="2" s="1"/>
  <c r="A20" i="2"/>
  <c r="D20" i="2" s="1"/>
  <c r="H19" i="2"/>
  <c r="E19" i="3" l="1"/>
  <c r="B20" i="3" s="1"/>
  <c r="C19" i="3"/>
  <c r="G18" i="3"/>
  <c r="H18" i="3" s="1"/>
  <c r="I18" i="3" s="1"/>
  <c r="A20" i="3"/>
  <c r="D20" i="3" s="1"/>
  <c r="F19" i="3"/>
  <c r="A21" i="2"/>
  <c r="D21" i="2" s="1"/>
  <c r="H20" i="2"/>
  <c r="B16" i="2"/>
  <c r="I15" i="2"/>
  <c r="J15" i="2" s="1"/>
  <c r="K15" i="2" s="1"/>
  <c r="G19" i="3" l="1"/>
  <c r="H19" i="3" s="1"/>
  <c r="I19" i="3" s="1"/>
  <c r="F20" i="3"/>
  <c r="A21" i="3"/>
  <c r="D21" i="3" s="1"/>
  <c r="C20" i="3"/>
  <c r="E20" i="3" s="1"/>
  <c r="B21" i="3" s="1"/>
  <c r="C16" i="2"/>
  <c r="E16" i="2" s="1"/>
  <c r="F16" i="2" s="1"/>
  <c r="H21" i="2"/>
  <c r="A22" i="2"/>
  <c r="D22" i="2" s="1"/>
  <c r="C21" i="3" l="1"/>
  <c r="E21" i="3" s="1"/>
  <c r="B22" i="3" s="1"/>
  <c r="A22" i="3"/>
  <c r="D22" i="3" s="1"/>
  <c r="F21" i="3"/>
  <c r="G20" i="3"/>
  <c r="H20" i="3" s="1"/>
  <c r="I20" i="3" s="1"/>
  <c r="G16" i="2"/>
  <c r="A23" i="2"/>
  <c r="D23" i="2" s="1"/>
  <c r="H22" i="2"/>
  <c r="C22" i="3" l="1"/>
  <c r="E22" i="3" s="1"/>
  <c r="B23" i="3" s="1"/>
  <c r="A23" i="3"/>
  <c r="D23" i="3" s="1"/>
  <c r="F22" i="3"/>
  <c r="G21" i="3"/>
  <c r="H21" i="3" s="1"/>
  <c r="I21" i="3" s="1"/>
  <c r="B17" i="2"/>
  <c r="I16" i="2"/>
  <c r="J16" i="2" s="1"/>
  <c r="K16" i="2" s="1"/>
  <c r="A24" i="2"/>
  <c r="D24" i="2" s="1"/>
  <c r="H23" i="2"/>
  <c r="C23" i="3" l="1"/>
  <c r="E23" i="3" s="1"/>
  <c r="B24" i="3" s="1"/>
  <c r="A24" i="3"/>
  <c r="D24" i="3" s="1"/>
  <c r="F23" i="3"/>
  <c r="G22" i="3"/>
  <c r="H22" i="3" s="1"/>
  <c r="I22" i="3" s="1"/>
  <c r="A25" i="2"/>
  <c r="D25" i="2" s="1"/>
  <c r="H24" i="2"/>
  <c r="C17" i="2"/>
  <c r="E17" i="2" s="1"/>
  <c r="F17" i="2" s="1"/>
  <c r="C24" i="3" l="1"/>
  <c r="E24" i="3"/>
  <c r="B25" i="3" s="1"/>
  <c r="G23" i="3"/>
  <c r="H23" i="3" s="1"/>
  <c r="I23" i="3" s="1"/>
  <c r="A25" i="3"/>
  <c r="D25" i="3" s="1"/>
  <c r="F24" i="3"/>
  <c r="G24" i="3" s="1"/>
  <c r="H24" i="3" s="1"/>
  <c r="I24" i="3" s="1"/>
  <c r="G17" i="2"/>
  <c r="A26" i="2"/>
  <c r="D26" i="2" s="1"/>
  <c r="H25" i="2"/>
  <c r="A26" i="3" l="1"/>
  <c r="D26" i="3" s="1"/>
  <c r="F25" i="3"/>
  <c r="C25" i="3"/>
  <c r="E25" i="3" s="1"/>
  <c r="B26" i="3" s="1"/>
  <c r="A27" i="2"/>
  <c r="D27" i="2" s="1"/>
  <c r="H26" i="2"/>
  <c r="B18" i="2"/>
  <c r="I17" i="2"/>
  <c r="J17" i="2" s="1"/>
  <c r="K17" i="2" s="1"/>
  <c r="C26" i="3" l="1"/>
  <c r="E26" i="3"/>
  <c r="B27" i="3" s="1"/>
  <c r="G25" i="3"/>
  <c r="H25" i="3" s="1"/>
  <c r="I25" i="3" s="1"/>
  <c r="F26" i="3"/>
  <c r="G26" i="3" s="1"/>
  <c r="H26" i="3" s="1"/>
  <c r="I26" i="3" s="1"/>
  <c r="A27" i="3"/>
  <c r="D27" i="3" s="1"/>
  <c r="C18" i="2"/>
  <c r="G18" i="2" s="1"/>
  <c r="E18" i="2"/>
  <c r="F18" i="2" s="1"/>
  <c r="A28" i="2"/>
  <c r="D28" i="2" s="1"/>
  <c r="H27" i="2"/>
  <c r="A28" i="3" l="1"/>
  <c r="D28" i="3" s="1"/>
  <c r="F27" i="3"/>
  <c r="C27" i="3"/>
  <c r="E27" i="3" s="1"/>
  <c r="B28" i="3" s="1"/>
  <c r="B19" i="2"/>
  <c r="I18" i="2"/>
  <c r="J18" i="2" s="1"/>
  <c r="K18" i="2" s="1"/>
  <c r="H28" i="2"/>
  <c r="A29" i="2"/>
  <c r="D29" i="2" s="1"/>
  <c r="C28" i="3" l="1"/>
  <c r="E28" i="3" s="1"/>
  <c r="B29" i="3" s="1"/>
  <c r="G27" i="3"/>
  <c r="H27" i="3" s="1"/>
  <c r="I27" i="3" s="1"/>
  <c r="F28" i="3"/>
  <c r="A29" i="3"/>
  <c r="D29" i="3" s="1"/>
  <c r="H29" i="2"/>
  <c r="A30" i="2"/>
  <c r="D30" i="2" s="1"/>
  <c r="C19" i="2"/>
  <c r="E19" i="2" s="1"/>
  <c r="F19" i="2" s="1"/>
  <c r="C29" i="3" l="1"/>
  <c r="E29" i="3"/>
  <c r="B30" i="3" s="1"/>
  <c r="G28" i="3"/>
  <c r="H28" i="3" s="1"/>
  <c r="I28" i="3" s="1"/>
  <c r="A30" i="3"/>
  <c r="D30" i="3" s="1"/>
  <c r="F29" i="3"/>
  <c r="G29" i="3" s="1"/>
  <c r="H29" i="3" s="1"/>
  <c r="I29" i="3" s="1"/>
  <c r="G19" i="2"/>
  <c r="A31" i="2"/>
  <c r="D31" i="2" s="1"/>
  <c r="H30" i="2"/>
  <c r="A31" i="3" l="1"/>
  <c r="D31" i="3" s="1"/>
  <c r="F30" i="3"/>
  <c r="C30" i="3"/>
  <c r="E30" i="3" s="1"/>
  <c r="B31" i="3" s="1"/>
  <c r="H31" i="2"/>
  <c r="A32" i="2"/>
  <c r="D32" i="2" s="1"/>
  <c r="B20" i="2"/>
  <c r="I19" i="2"/>
  <c r="J19" i="2" s="1"/>
  <c r="K19" i="2" s="1"/>
  <c r="C31" i="3" l="1"/>
  <c r="E31" i="3" s="1"/>
  <c r="B32" i="3" s="1"/>
  <c r="G30" i="3"/>
  <c r="H30" i="3" s="1"/>
  <c r="I30" i="3" s="1"/>
  <c r="A32" i="3"/>
  <c r="D32" i="3" s="1"/>
  <c r="F31" i="3"/>
  <c r="A33" i="2"/>
  <c r="D33" i="2" s="1"/>
  <c r="H33" i="2" s="1"/>
  <c r="H32" i="2"/>
  <c r="C20" i="2"/>
  <c r="E20" i="2" s="1"/>
  <c r="F20" i="2" s="1"/>
  <c r="C32" i="3" l="1"/>
  <c r="E32" i="3" s="1"/>
  <c r="B33" i="3" s="1"/>
  <c r="G31" i="3"/>
  <c r="H31" i="3" s="1"/>
  <c r="I31" i="3" s="1"/>
  <c r="A33" i="3"/>
  <c r="D33" i="3" s="1"/>
  <c r="F33" i="3" s="1"/>
  <c r="F32" i="3"/>
  <c r="G20" i="2"/>
  <c r="C33" i="3" l="1"/>
  <c r="E33" i="3"/>
  <c r="H35" i="3" s="1"/>
  <c r="G32" i="3"/>
  <c r="H32" i="3" s="1"/>
  <c r="I32" i="3" s="1"/>
  <c r="G33" i="3"/>
  <c r="H33" i="3" s="1"/>
  <c r="I33" i="3" s="1"/>
  <c r="B21" i="2"/>
  <c r="I20" i="2"/>
  <c r="J20" i="2" s="1"/>
  <c r="K20" i="2" s="1"/>
  <c r="C21" i="2" l="1"/>
  <c r="E21" i="2" s="1"/>
  <c r="F21" i="2" s="1"/>
  <c r="G21" i="2" l="1"/>
  <c r="B22" i="2" l="1"/>
  <c r="I21" i="2"/>
  <c r="J21" i="2" s="1"/>
  <c r="K21" i="2" s="1"/>
  <c r="C22" i="2" l="1"/>
  <c r="E22" i="2" l="1"/>
  <c r="F22" i="2" s="1"/>
  <c r="G22" i="2" s="1"/>
  <c r="B23" i="2" l="1"/>
  <c r="I22" i="2"/>
  <c r="J22" i="2" s="1"/>
  <c r="K22" i="2" s="1"/>
  <c r="C23" i="2" l="1"/>
  <c r="E23" i="2" s="1"/>
  <c r="F23" i="2" s="1"/>
  <c r="G23" i="2" s="1"/>
  <c r="B24" i="2" l="1"/>
  <c r="I23" i="2"/>
  <c r="J23" i="2" s="1"/>
  <c r="K23" i="2" s="1"/>
  <c r="C24" i="2" l="1"/>
  <c r="E24" i="2" l="1"/>
  <c r="F24" i="2" s="1"/>
  <c r="G24" i="2" s="1"/>
  <c r="B25" i="2" l="1"/>
  <c r="I24" i="2"/>
  <c r="J24" i="2" s="1"/>
  <c r="K24" i="2" s="1"/>
  <c r="C25" i="2" l="1"/>
  <c r="E25" i="2"/>
  <c r="F25" i="2" s="1"/>
  <c r="G25" i="2" s="1"/>
  <c r="B26" i="2" l="1"/>
  <c r="I25" i="2"/>
  <c r="J25" i="2" s="1"/>
  <c r="K25" i="2" s="1"/>
  <c r="C26" i="2" l="1"/>
  <c r="E26" i="2" l="1"/>
  <c r="F26" i="2" s="1"/>
  <c r="G26" i="2" s="1"/>
  <c r="B27" i="2" l="1"/>
  <c r="I26" i="2"/>
  <c r="J26" i="2" s="1"/>
  <c r="K26" i="2" s="1"/>
  <c r="C27" i="2" l="1"/>
  <c r="E27" i="2" s="1"/>
  <c r="F27" i="2" s="1"/>
  <c r="G27" i="2" l="1"/>
  <c r="B28" i="2" l="1"/>
  <c r="I27" i="2"/>
  <c r="J27" i="2" s="1"/>
  <c r="K27" i="2" s="1"/>
  <c r="C28" i="2" l="1"/>
  <c r="E28" i="2" s="1"/>
  <c r="F28" i="2" s="1"/>
  <c r="G28" i="2" s="1"/>
  <c r="B29" i="2" l="1"/>
  <c r="I28" i="2"/>
  <c r="J28" i="2" s="1"/>
  <c r="K28" i="2" s="1"/>
  <c r="C29" i="2" l="1"/>
  <c r="E29" i="2" l="1"/>
  <c r="F29" i="2" s="1"/>
  <c r="G29" i="2" s="1"/>
  <c r="B30" i="2" l="1"/>
  <c r="I29" i="2"/>
  <c r="J29" i="2" s="1"/>
  <c r="K29" i="2" s="1"/>
  <c r="C30" i="2" l="1"/>
  <c r="E30" i="2" l="1"/>
  <c r="F30" i="2" s="1"/>
  <c r="G30" i="2" s="1"/>
  <c r="B31" i="2" l="1"/>
  <c r="I30" i="2"/>
  <c r="J30" i="2" s="1"/>
  <c r="K30" i="2" s="1"/>
  <c r="C31" i="2" l="1"/>
  <c r="E31" i="2" s="1"/>
  <c r="F31" i="2" s="1"/>
  <c r="G31" i="2" s="1"/>
  <c r="B32" i="2" l="1"/>
  <c r="I31" i="2"/>
  <c r="J31" i="2" s="1"/>
  <c r="K31" i="2" s="1"/>
  <c r="C32" i="2" l="1"/>
  <c r="E32" i="2" s="1"/>
  <c r="F32" i="2" s="1"/>
  <c r="G32" i="2" l="1"/>
  <c r="B33" i="2" l="1"/>
  <c r="I32" i="2"/>
  <c r="J32" i="2" s="1"/>
  <c r="K32" i="2" s="1"/>
  <c r="C33" i="2" l="1"/>
  <c r="E33" i="2" l="1"/>
  <c r="F33" i="2" s="1"/>
  <c r="G33" i="2" s="1"/>
  <c r="H35" i="2" l="1"/>
  <c r="I33" i="2"/>
  <c r="J33" i="2" s="1"/>
  <c r="K33" i="2" s="1"/>
</calcChain>
</file>

<file path=xl/sharedStrings.xml><?xml version="1.0" encoding="utf-8"?>
<sst xmlns="http://schemas.openxmlformats.org/spreadsheetml/2006/main" count="40" uniqueCount="25">
  <si>
    <t>MÉTODO DE HEUN - CRECIMIENTO DE PEZ (VON BERTALANFFY)</t>
  </si>
  <si>
    <t>Ecuación: dw/dt = a·w^(2/3) - b·w</t>
  </si>
  <si>
    <t>a = 5 lb^(1/3)/día,   b = 2 día^(-1),   w(0) = 0,5 lb</t>
  </si>
  <si>
    <t>Intervalo: 0 ≤ t ≤ 10 días,   paso h = 0,5 días.</t>
  </si>
  <si>
    <t>t_0 =</t>
  </si>
  <si>
    <t>t_f =</t>
  </si>
  <si>
    <t>w_0 =</t>
  </si>
  <si>
    <t>h =</t>
  </si>
  <si>
    <t>t_i (días)</t>
  </si>
  <si>
    <t>w_i (lb)</t>
  </si>
  <si>
    <t>f(t_i,w_i)</t>
  </si>
  <si>
    <t>t_i + h</t>
  </si>
  <si>
    <t>w* = w_i + h·f(t_i,w_i)</t>
  </si>
  <si>
    <t>f(t_i+h, w*)</t>
  </si>
  <si>
    <t>w_{i+1} (Heun) (lb)</t>
  </si>
  <si>
    <t>w_exact(t_i+h) (lb)</t>
  </si>
  <si>
    <t>Error absoluto</t>
  </si>
  <si>
    <t>Error relativo</t>
  </si>
  <si>
    <t>Error porcentual</t>
  </si>
  <si>
    <t>w(10) aprox.: (Heun)</t>
  </si>
  <si>
    <t>w_max teórica:</t>
  </si>
  <si>
    <t>MÉTODO DE EULER - CRECIMIENTO DE PEZ (VON BERTALANFFY)</t>
  </si>
  <si>
    <t>f(t_i,w_i) = dw/dt</t>
  </si>
  <si>
    <t>w_{i+1} (lb)</t>
  </si>
  <si>
    <t>w(10) aprox.: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</si>
</sst>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BDD7EE"/>
      </patternFill>
    </fill>
    <fill>
      <patternFill patternType="solid">
        <fgColor rgb="FFF4B084"/>
      </patternFill>
    </fill>
    <fill>
      <patternFill patternType="solid">
        <fgColor rgb="FFC6E0B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0" fillId="3" borderId="0" xfId="0" applyFill="1"/>
    <xf numFmtId="0" fontId="1" fillId="4" borderId="0" xfId="0" applyFont="1" applyFill="1" applyAlignment="1">
      <alignment horizontal="center"/>
    </xf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Crecimiento del pez: Heun vs exacta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Heun_Pez!$G$13</c:f>
              <c:strCache>
                <c:ptCount val="1"/>
                <c:pt idx="0">
                  <c:v>w_{i+1} (Heun) (lb)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Heun_Pez!$D$14:$D$33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xVal>
          <c:yVal>
            <c:numRef>
              <c:f>Heun_Pez!$G$14:$G$33</c:f>
              <c:numCache>
                <c:formatCode>General</c:formatCode>
                <c:ptCount val="20"/>
                <c:pt idx="0">
                  <c:v>1.9420463013067319</c:v>
                </c:pt>
                <c:pt idx="1">
                  <c:v>4.0635873283038695</c:v>
                </c:pt>
                <c:pt idx="2">
                  <c:v>6.3254753023414354</c:v>
                </c:pt>
                <c:pt idx="3">
                  <c:v>8.3896444773098029</c:v>
                </c:pt>
                <c:pt idx="4">
                  <c:v>10.120745787646094</c:v>
                </c:pt>
                <c:pt idx="5">
                  <c:v>11.501538578005844</c:v>
                </c:pt>
                <c:pt idx="6">
                  <c:v>12.568666302284328</c:v>
                </c:pt>
                <c:pt idx="7">
                  <c:v>13.376457278354817</c:v>
                </c:pt>
                <c:pt idx="8">
                  <c:v>13.979435159357793</c:v>
                </c:pt>
                <c:pt idx="9">
                  <c:v>14.425211993797507</c:v>
                </c:pt>
                <c:pt idx="10">
                  <c:v>14.752561384649631</c:v>
                </c:pt>
                <c:pt idx="11">
                  <c:v>14.991808142052934</c:v>
                </c:pt>
                <c:pt idx="12">
                  <c:v>15.166076670890526</c:v>
                </c:pt>
                <c:pt idx="13">
                  <c:v>15.292710417051737</c:v>
                </c:pt>
                <c:pt idx="14">
                  <c:v>15.384571989655701</c:v>
                </c:pt>
                <c:pt idx="15">
                  <c:v>15.451127339992992</c:v>
                </c:pt>
                <c:pt idx="16">
                  <c:v>15.499305173150461</c:v>
                </c:pt>
                <c:pt idx="17">
                  <c:v>15.534157724581702</c:v>
                </c:pt>
                <c:pt idx="18">
                  <c:v>15.559358989573184</c:v>
                </c:pt>
                <c:pt idx="19">
                  <c:v>15.577575544209612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F-4812-8598-F4ABADC0F392}"/>
            </c:ext>
          </c:extLst>
        </c:ser>
        <c:ser>
          <c:idx val="3"/>
          <c:order val="1"/>
          <c:tx>
            <c:strRef>
              <c:f>Heun_Pez!$H$13</c:f>
              <c:strCache>
                <c:ptCount val="1"/>
                <c:pt idx="0">
                  <c:v>w_exact(t_i+h) (lb)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Heun_Pez!$D$14:$D$33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xVal>
          <c:yVal>
            <c:numRef>
              <c:f>Heun_Pez!$H$14:$H$33</c:f>
              <c:numCache>
                <c:formatCode>General</c:formatCode>
                <c:ptCount val="20"/>
                <c:pt idx="0">
                  <c:v>2.0843152107295784</c:v>
                </c:pt>
                <c:pt idx="1">
                  <c:v>4.2827555620548496</c:v>
                </c:pt>
                <c:pt idx="2">
                  <c:v>6.5632298752638647</c:v>
                </c:pt>
                <c:pt idx="3">
                  <c:v>8.6179536998015553</c:v>
                </c:pt>
                <c:pt idx="4">
                  <c:v>10.32778316190408</c:v>
                </c:pt>
                <c:pt idx="5">
                  <c:v>11.682827794697335</c:v>
                </c:pt>
                <c:pt idx="6">
                  <c:v>12.72337017559216</c:v>
                </c:pt>
                <c:pt idx="7">
                  <c:v>13.505764225663038</c:v>
                </c:pt>
                <c:pt idx="8">
                  <c:v>14.085669381214011</c:v>
                </c:pt>
                <c:pt idx="9">
                  <c:v>14.511241432742152</c:v>
                </c:pt>
                <c:pt idx="10">
                  <c:v>14.821391378285281</c:v>
                </c:pt>
                <c:pt idx="11">
                  <c:v>15.046320272748767</c:v>
                </c:pt>
                <c:pt idx="12">
                  <c:v>15.208880658784741</c:v>
                </c:pt>
                <c:pt idx="13">
                  <c:v>15.326077495607297</c:v>
                </c:pt>
                <c:pt idx="14">
                  <c:v>15.410421916078052</c:v>
                </c:pt>
                <c:pt idx="15">
                  <c:v>15.471047256912549</c:v>
                </c:pt>
                <c:pt idx="16">
                  <c:v>15.514584853895897</c:v>
                </c:pt>
                <c:pt idx="17">
                  <c:v>15.545831085170796</c:v>
                </c:pt>
                <c:pt idx="18">
                  <c:v>15.568245769341994</c:v>
                </c:pt>
                <c:pt idx="19">
                  <c:v>15.584319835435055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0F-4812-8598-F4ABADC0F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165407"/>
        <c:axId val="629730303"/>
      </c:scatterChart>
      <c:valAx>
        <c:axId val="73116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Tiempo (días)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29730303"/>
        <c:crosses val="autoZero"/>
        <c:crossBetween val="midCat"/>
      </c:valAx>
      <c:valAx>
        <c:axId val="62973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Peso w (lb)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1165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Crecimiento del pez: Euler vs exacta</a:t>
            </a:r>
            <a:r>
              <a:rPr lang="es-BO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Euler_Pez!$E$13</c:f>
              <c:strCache>
                <c:ptCount val="1"/>
                <c:pt idx="0">
                  <c:v>w_{i+1} (lb)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Euler_Pez!$D$14:$D$33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xVal>
          <c:yVal>
            <c:numRef>
              <c:f>Euler_Pez!$E$14:$E$33</c:f>
              <c:numCache>
                <c:formatCode>General</c:formatCode>
                <c:ptCount val="20"/>
                <c:pt idx="0">
                  <c:v>1.5749013123685915</c:v>
                </c:pt>
                <c:pt idx="1">
                  <c:v>3.3840926026134639</c:v>
                </c:pt>
                <c:pt idx="2">
                  <c:v>5.635098360841643</c:v>
                </c:pt>
                <c:pt idx="3">
                  <c:v>7.9166420605013119</c:v>
                </c:pt>
                <c:pt idx="4">
                  <c:v>9.9304138538599815</c:v>
                </c:pt>
                <c:pt idx="5">
                  <c:v>11.550077744651624</c:v>
                </c:pt>
                <c:pt idx="6">
                  <c:v>12.774089275123544</c:v>
                </c:pt>
                <c:pt idx="7">
                  <c:v>13.661340207609422</c:v>
                </c:pt>
                <c:pt idx="8">
                  <c:v>14.286819124367948</c:v>
                </c:pt>
                <c:pt idx="9">
                  <c:v>14.719634953513554</c:v>
                </c:pt>
                <c:pt idx="10">
                  <c:v>15.015439037989726</c:v>
                </c:pt>
                <c:pt idx="11">
                  <c:v>15.215936905199957</c:v>
                </c:pt>
                <c:pt idx="12">
                  <c:v>15.351087288697441</c:v>
                </c:pt>
                <c:pt idx="13">
                  <c:v>15.441853792190338</c:v>
                </c:pt>
                <c:pt idx="14">
                  <c:v>15.502662752289098</c:v>
                </c:pt>
                <c:pt idx="15">
                  <c:v>15.54333503506134</c:v>
                </c:pt>
                <c:pt idx="16">
                  <c:v>15.570509154355207</c:v>
                </c:pt>
                <c:pt idx="17">
                  <c:v>15.588651622093721</c:v>
                </c:pt>
                <c:pt idx="18">
                  <c:v>15.600758343102916</c:v>
                </c:pt>
                <c:pt idx="19">
                  <c:v>15.608834713616984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BB-497D-932E-64C760169347}"/>
            </c:ext>
          </c:extLst>
        </c:ser>
        <c:ser>
          <c:idx val="1"/>
          <c:order val="1"/>
          <c:tx>
            <c:strRef>
              <c:f>Euler_Pez!$F$13</c:f>
              <c:strCache>
                <c:ptCount val="1"/>
                <c:pt idx="0">
                  <c:v>w_exact(t_i+h) (lb)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Euler_Pez!$D$14:$D$33</c:f>
              <c:numCache>
                <c:formatCode>General</c:formatCode>
                <c:ptCount val="2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</c:numCache>
            </c:numRef>
          </c:xVal>
          <c:yVal>
            <c:numRef>
              <c:f>Euler_Pez!$F$14:$F$33</c:f>
              <c:numCache>
                <c:formatCode>General</c:formatCode>
                <c:ptCount val="20"/>
                <c:pt idx="0">
                  <c:v>2.0843152107295784</c:v>
                </c:pt>
                <c:pt idx="1">
                  <c:v>4.2827555620548496</c:v>
                </c:pt>
                <c:pt idx="2">
                  <c:v>6.5632298752638647</c:v>
                </c:pt>
                <c:pt idx="3">
                  <c:v>8.6179536998015553</c:v>
                </c:pt>
                <c:pt idx="4">
                  <c:v>10.32778316190408</c:v>
                </c:pt>
                <c:pt idx="5">
                  <c:v>11.682827794697335</c:v>
                </c:pt>
                <c:pt idx="6">
                  <c:v>12.72337017559216</c:v>
                </c:pt>
                <c:pt idx="7">
                  <c:v>13.505764225663038</c:v>
                </c:pt>
                <c:pt idx="8">
                  <c:v>14.085669381214011</c:v>
                </c:pt>
                <c:pt idx="9">
                  <c:v>14.511241432742152</c:v>
                </c:pt>
                <c:pt idx="10">
                  <c:v>14.821391378285281</c:v>
                </c:pt>
                <c:pt idx="11">
                  <c:v>15.046320272748767</c:v>
                </c:pt>
                <c:pt idx="12">
                  <c:v>15.208880658784741</c:v>
                </c:pt>
                <c:pt idx="13">
                  <c:v>15.326077495607297</c:v>
                </c:pt>
                <c:pt idx="14">
                  <c:v>15.410421916078052</c:v>
                </c:pt>
                <c:pt idx="15">
                  <c:v>15.471047256912549</c:v>
                </c:pt>
                <c:pt idx="16">
                  <c:v>15.514584853895897</c:v>
                </c:pt>
                <c:pt idx="17">
                  <c:v>15.545831085170796</c:v>
                </c:pt>
                <c:pt idx="18">
                  <c:v>15.568245769341994</c:v>
                </c:pt>
                <c:pt idx="19">
                  <c:v>15.584319835435055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BB-497D-932E-64C760169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239567"/>
        <c:axId val="626697391"/>
      </c:scatterChart>
      <c:valAx>
        <c:axId val="211923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Tiempo (días)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26697391"/>
        <c:crosses val="autoZero"/>
        <c:crossBetween val="midCat"/>
      </c:valAx>
      <c:valAx>
        <c:axId val="62669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Peso w (lb)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11923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304801</xdr:colOff>
      <xdr:row>13</xdr:row>
      <xdr:rowOff>47625</xdr:rowOff>
    </xdr:from>
    <xdr:to>
      <xdr:col>18</xdr:col>
      <xdr:colOff>257175</xdr:colOff>
      <xdr:row>32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499B1E-FFE3-4436-A1AE-0479C0D5D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304800</xdr:colOff>
      <xdr:row>4</xdr:row>
      <xdr:rowOff>161925</xdr:rowOff>
    </xdr:from>
    <xdr:to>
      <xdr:col>18</xdr:col>
      <xdr:colOff>209550</xdr:colOff>
      <xdr:row>11</xdr:row>
      <xdr:rowOff>76200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6FF01E3-B243-4568-8304-2B3FEB99880E}"/>
            </a:ext>
          </a:extLst>
        </xdr:cNvPr>
        <xdr:cNvSpPr txBox="1"/>
      </xdr:nvSpPr>
      <xdr:spPr>
        <a:xfrm>
          <a:off x="9810750" y="923925"/>
          <a:ext cx="4762500" cy="12477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/>
            <a:t>La gráfica muestra que el peso del pez aumenta rápidamente al inicio y luego se estabiliza cerca de 15,615{,}615,6 lb. La curva del método de Heun prácticamente coincide con la solución exacta en todo el intervalo de 0 a 10 días, lo que indica que la aproximación numérica es muy precisa para este problema.</a:t>
          </a:r>
          <a:endParaRPr lang="es-B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18</xdr:row>
      <xdr:rowOff>157162</xdr:rowOff>
    </xdr:from>
    <xdr:to>
      <xdr:col>17</xdr:col>
      <xdr:colOff>38100</xdr:colOff>
      <xdr:row>33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0AA9D4-1AF0-4527-B0C8-E81D59426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6</xdr:row>
      <xdr:rowOff>171450</xdr:rowOff>
    </xdr:from>
    <xdr:to>
      <xdr:col>16</xdr:col>
      <xdr:colOff>0</xdr:colOff>
      <xdr:row>17</xdr:row>
      <xdr:rowOff>9525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D332DF0-2E69-46E0-AB63-A2621B6D9D59}"/>
            </a:ext>
          </a:extLst>
        </xdr:cNvPr>
        <xdr:cNvSpPr txBox="1"/>
      </xdr:nvSpPr>
      <xdr:spPr>
        <a:xfrm>
          <a:off x="8782050" y="1314450"/>
          <a:ext cx="4286250" cy="193357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/>
            <a:t>La gráfica muestra que el peso del pez crece rápidamente al inicio y luego se desacelera hasta acercarse a un peso máximo cercano a 15,6 lb, que coincide con el valor teórico wmax⁡=(a/b)3=15,625w_{\max} = (a/b)^3 = 15,625wmax​=(a/b)3=15,625 lb. La curva obtenida con el método de Euler sigue de forma razonable a la solución exacta y, al final del intervalo de 0 a 10 días, el error porcentual es muy pequeño (del orden del 0,2 %). Por tanto, el intervalo de tiempo elegido es suficiente para que el pez alcance prácticamente su peso máximo y el método de Euler resulta adecuado para aproximar este modelo de crecimiento con el paso usado.</a:t>
          </a:r>
          <a:endParaRPr lang="es-BO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DESAFIO%20PEZ%20-%20CRECIMIENTO%20DE%20UN%20ORGANISMO\2_heun.xlsx" TargetMode="External"/><Relationship Id="rId1" Type="http://schemas.openxmlformats.org/officeDocument/2006/relationships/externalLinkPath" Target="2_heu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PU\Desktop\U\METODOS%20NUMERICOS\DESAFIO%20PEZ%20-%20CRECIMIENTO%20DE%20UN%20ORGANISMO\2_euler.xlsx" TargetMode="External"/><Relationship Id="rId1" Type="http://schemas.openxmlformats.org/officeDocument/2006/relationships/externalLinkPath" Target="2_eu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un_Pez"/>
    </sheetNames>
    <sheetDataSet>
      <sheetData sheetId="0">
        <row r="13">
          <cell r="G13" t="str">
            <v>w_{i+1} (Heun) (lb)</v>
          </cell>
          <cell r="H13" t="str">
            <v>w_exact(t_i+h) (lb)</v>
          </cell>
        </row>
        <row r="14">
          <cell r="D14">
            <v>0.5</v>
          </cell>
          <cell r="G14">
            <v>1.9420463013067319</v>
          </cell>
          <cell r="H14">
            <v>2.0843152107295784</v>
          </cell>
        </row>
        <row r="15">
          <cell r="D15">
            <v>1</v>
          </cell>
          <cell r="G15">
            <v>4.0635873283038695</v>
          </cell>
          <cell r="H15">
            <v>4.2827555620548496</v>
          </cell>
        </row>
        <row r="16">
          <cell r="D16">
            <v>1.5</v>
          </cell>
          <cell r="G16">
            <v>6.3254753023414354</v>
          </cell>
          <cell r="H16">
            <v>6.5632298752638647</v>
          </cell>
        </row>
        <row r="17">
          <cell r="D17">
            <v>2</v>
          </cell>
          <cell r="G17">
            <v>8.3896444773098029</v>
          </cell>
          <cell r="H17">
            <v>8.6179536998015553</v>
          </cell>
        </row>
        <row r="18">
          <cell r="D18">
            <v>2.5</v>
          </cell>
          <cell r="G18">
            <v>10.120745787646094</v>
          </cell>
          <cell r="H18">
            <v>10.32778316190408</v>
          </cell>
        </row>
        <row r="19">
          <cell r="D19">
            <v>3</v>
          </cell>
          <cell r="G19">
            <v>11.501538578005844</v>
          </cell>
          <cell r="H19">
            <v>11.682827794697335</v>
          </cell>
        </row>
        <row r="20">
          <cell r="D20">
            <v>3.5</v>
          </cell>
          <cell r="G20">
            <v>12.568666302284328</v>
          </cell>
          <cell r="H20">
            <v>12.72337017559216</v>
          </cell>
        </row>
        <row r="21">
          <cell r="D21">
            <v>4</v>
          </cell>
          <cell r="G21">
            <v>13.376457278354817</v>
          </cell>
          <cell r="H21">
            <v>13.505764225663038</v>
          </cell>
        </row>
        <row r="22">
          <cell r="D22">
            <v>4.5</v>
          </cell>
          <cell r="G22">
            <v>13.979435159357793</v>
          </cell>
          <cell r="H22">
            <v>14.085669381214011</v>
          </cell>
        </row>
        <row r="23">
          <cell r="D23">
            <v>5</v>
          </cell>
          <cell r="G23">
            <v>14.425211993797507</v>
          </cell>
          <cell r="H23">
            <v>14.511241432742152</v>
          </cell>
        </row>
        <row r="24">
          <cell r="D24">
            <v>5.5</v>
          </cell>
          <cell r="G24">
            <v>14.752561384649631</v>
          </cell>
          <cell r="H24">
            <v>14.821391378285281</v>
          </cell>
        </row>
        <row r="25">
          <cell r="D25">
            <v>6</v>
          </cell>
          <cell r="G25">
            <v>14.991808142052934</v>
          </cell>
          <cell r="H25">
            <v>15.046320272748767</v>
          </cell>
        </row>
        <row r="26">
          <cell r="D26">
            <v>6.5</v>
          </cell>
          <cell r="G26">
            <v>15.166076670890526</v>
          </cell>
          <cell r="H26">
            <v>15.208880658784741</v>
          </cell>
        </row>
        <row r="27">
          <cell r="D27">
            <v>7</v>
          </cell>
          <cell r="G27">
            <v>15.292710417051737</v>
          </cell>
          <cell r="H27">
            <v>15.326077495607297</v>
          </cell>
        </row>
        <row r="28">
          <cell r="D28">
            <v>7.5</v>
          </cell>
          <cell r="G28">
            <v>15.384571989655701</v>
          </cell>
          <cell r="H28">
            <v>15.410421916078052</v>
          </cell>
        </row>
        <row r="29">
          <cell r="D29">
            <v>8</v>
          </cell>
          <cell r="G29">
            <v>15.451127339992992</v>
          </cell>
          <cell r="H29">
            <v>15.471047256912549</v>
          </cell>
        </row>
        <row r="30">
          <cell r="D30">
            <v>8.5</v>
          </cell>
          <cell r="G30">
            <v>15.499305173150461</v>
          </cell>
          <cell r="H30">
            <v>15.514584853895897</v>
          </cell>
        </row>
        <row r="31">
          <cell r="D31">
            <v>9</v>
          </cell>
          <cell r="G31">
            <v>15.534157724581702</v>
          </cell>
          <cell r="H31">
            <v>15.545831085170796</v>
          </cell>
        </row>
        <row r="32">
          <cell r="D32">
            <v>9.5</v>
          </cell>
          <cell r="G32">
            <v>15.559358989573184</v>
          </cell>
          <cell r="H32">
            <v>15.568245769341994</v>
          </cell>
        </row>
        <row r="33">
          <cell r="D33">
            <v>10</v>
          </cell>
          <cell r="G33">
            <v>15.577575544209612</v>
          </cell>
          <cell r="H33">
            <v>15.584319835435055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ler_Pez"/>
    </sheetNames>
    <sheetDataSet>
      <sheetData sheetId="0">
        <row r="13">
          <cell r="E13" t="str">
            <v>w_{i+1} (lb)</v>
          </cell>
          <cell r="F13" t="str">
            <v>w_exact(t_i+h) (lb)</v>
          </cell>
        </row>
        <row r="14">
          <cell r="D14">
            <v>0.5</v>
          </cell>
          <cell r="E14">
            <v>1.5749013123685915</v>
          </cell>
          <cell r="F14">
            <v>2.0843152107295784</v>
          </cell>
        </row>
        <row r="15">
          <cell r="D15">
            <v>1</v>
          </cell>
          <cell r="E15">
            <v>3.3840926026134639</v>
          </cell>
          <cell r="F15">
            <v>4.2827555620548496</v>
          </cell>
        </row>
        <row r="16">
          <cell r="D16">
            <v>1.5</v>
          </cell>
          <cell r="E16">
            <v>5.635098360841643</v>
          </cell>
          <cell r="F16">
            <v>6.5632298752638647</v>
          </cell>
        </row>
        <row r="17">
          <cell r="D17">
            <v>2</v>
          </cell>
          <cell r="E17">
            <v>7.9166420605013119</v>
          </cell>
          <cell r="F17">
            <v>8.6179536998015553</v>
          </cell>
        </row>
        <row r="18">
          <cell r="D18">
            <v>2.5</v>
          </cell>
          <cell r="E18">
            <v>9.9304138538599815</v>
          </cell>
          <cell r="F18">
            <v>10.32778316190408</v>
          </cell>
        </row>
        <row r="19">
          <cell r="D19">
            <v>3</v>
          </cell>
          <cell r="E19">
            <v>11.550077744651624</v>
          </cell>
          <cell r="F19">
            <v>11.682827794697335</v>
          </cell>
        </row>
        <row r="20">
          <cell r="D20">
            <v>3.5</v>
          </cell>
          <cell r="E20">
            <v>12.774089275123544</v>
          </cell>
          <cell r="F20">
            <v>12.72337017559216</v>
          </cell>
        </row>
        <row r="21">
          <cell r="D21">
            <v>4</v>
          </cell>
          <cell r="E21">
            <v>13.661340207609422</v>
          </cell>
          <cell r="F21">
            <v>13.505764225663038</v>
          </cell>
        </row>
        <row r="22">
          <cell r="D22">
            <v>4.5</v>
          </cell>
          <cell r="E22">
            <v>14.286819124367948</v>
          </cell>
          <cell r="F22">
            <v>14.085669381214011</v>
          </cell>
        </row>
        <row r="23">
          <cell r="D23">
            <v>5</v>
          </cell>
          <cell r="E23">
            <v>14.719634953513554</v>
          </cell>
          <cell r="F23">
            <v>14.511241432742152</v>
          </cell>
        </row>
        <row r="24">
          <cell r="D24">
            <v>5.5</v>
          </cell>
          <cell r="E24">
            <v>15.015439037989726</v>
          </cell>
          <cell r="F24">
            <v>14.821391378285281</v>
          </cell>
        </row>
        <row r="25">
          <cell r="D25">
            <v>6</v>
          </cell>
          <cell r="E25">
            <v>15.215936905199957</v>
          </cell>
          <cell r="F25">
            <v>15.046320272748767</v>
          </cell>
        </row>
        <row r="26">
          <cell r="D26">
            <v>6.5</v>
          </cell>
          <cell r="E26">
            <v>15.351087288697441</v>
          </cell>
          <cell r="F26">
            <v>15.208880658784741</v>
          </cell>
        </row>
        <row r="27">
          <cell r="D27">
            <v>7</v>
          </cell>
          <cell r="E27">
            <v>15.441853792190338</v>
          </cell>
          <cell r="F27">
            <v>15.326077495607297</v>
          </cell>
        </row>
        <row r="28">
          <cell r="D28">
            <v>7.5</v>
          </cell>
          <cell r="E28">
            <v>15.502662752289098</v>
          </cell>
          <cell r="F28">
            <v>15.410421916078052</v>
          </cell>
        </row>
        <row r="29">
          <cell r="D29">
            <v>8</v>
          </cell>
          <cell r="E29">
            <v>15.54333503506134</v>
          </cell>
          <cell r="F29">
            <v>15.471047256912549</v>
          </cell>
        </row>
        <row r="30">
          <cell r="D30">
            <v>8.5</v>
          </cell>
          <cell r="E30">
            <v>15.570509154355207</v>
          </cell>
          <cell r="F30">
            <v>15.514584853895897</v>
          </cell>
        </row>
        <row r="31">
          <cell r="D31">
            <v>9</v>
          </cell>
          <cell r="E31">
            <v>15.588651622093721</v>
          </cell>
          <cell r="F31">
            <v>15.545831085170796</v>
          </cell>
        </row>
        <row r="32">
          <cell r="D32">
            <v>9.5</v>
          </cell>
          <cell r="E32">
            <v>15.600758343102916</v>
          </cell>
          <cell r="F32">
            <v>15.568245769341994</v>
          </cell>
        </row>
        <row r="33">
          <cell r="D33">
            <v>10</v>
          </cell>
          <cell r="E33">
            <v>15.608834713616984</v>
          </cell>
          <cell r="F33">
            <v>15.584319835435055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D911-7B8A-4C4C-B08D-370B0D34F4EB}">
  <dimension ref="A1:K37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6" max="6" width="13.5703125" customWidth="1"/>
    <col min="7" max="7" width="19" customWidth="1"/>
    <col min="8" max="8" width="19.28515625" customWidth="1"/>
    <col min="9" max="9" width="13.7109375" customWidth="1"/>
    <col min="10" max="10" width="15.5703125" customWidth="1"/>
    <col min="11" max="11" width="15.7109375" customWidth="1"/>
    <col min="13" max="13" width="18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x14ac:dyDescent="0.25">
      <c r="A3" t="s">
        <v>1</v>
      </c>
    </row>
    <row r="4" spans="1:11" x14ac:dyDescent="0.25">
      <c r="A4" t="s">
        <v>2</v>
      </c>
    </row>
    <row r="5" spans="1:11" x14ac:dyDescent="0.25">
      <c r="A5" t="s">
        <v>3</v>
      </c>
    </row>
    <row r="7" spans="1:11" x14ac:dyDescent="0.25">
      <c r="A7" s="3" t="s">
        <v>4</v>
      </c>
      <c r="B7" s="3">
        <v>0</v>
      </c>
    </row>
    <row r="8" spans="1:11" x14ac:dyDescent="0.25">
      <c r="A8" s="3" t="s">
        <v>5</v>
      </c>
      <c r="B8" s="3">
        <v>10</v>
      </c>
    </row>
    <row r="9" spans="1:11" x14ac:dyDescent="0.25">
      <c r="A9" s="3" t="s">
        <v>6</v>
      </c>
      <c r="B9" s="3">
        <v>0.5</v>
      </c>
    </row>
    <row r="10" spans="1:11" x14ac:dyDescent="0.25">
      <c r="A10" s="3" t="s">
        <v>7</v>
      </c>
      <c r="B10" s="3">
        <v>0.5</v>
      </c>
      <c r="H10" s="8"/>
    </row>
    <row r="13" spans="1:11" x14ac:dyDescent="0.25">
      <c r="A13" s="4" t="s">
        <v>8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  <c r="H13" s="4" t="s">
        <v>15</v>
      </c>
      <c r="I13" s="4" t="s">
        <v>16</v>
      </c>
      <c r="J13" s="4" t="s">
        <v>17</v>
      </c>
      <c r="K13" s="4" t="s">
        <v>18</v>
      </c>
    </row>
    <row r="14" spans="1:11" x14ac:dyDescent="0.25">
      <c r="A14">
        <f>$B$7</f>
        <v>0</v>
      </c>
      <c r="B14">
        <f>$B$9</f>
        <v>0.5</v>
      </c>
      <c r="C14">
        <f>5*B14^(2/3)-2*B14</f>
        <v>2.1498026247371831</v>
      </c>
      <c r="D14">
        <f>A14+$B$10</f>
        <v>0.5</v>
      </c>
      <c r="E14">
        <f>B14+$B$10*C14</f>
        <v>1.5749013123685915</v>
      </c>
      <c r="F14">
        <f>5*E14^(2/3)-2*E14</f>
        <v>3.6183825804897447</v>
      </c>
      <c r="G14">
        <f>B14+($B$10/2)*(C14+F14)</f>
        <v>1.9420463013067319</v>
      </c>
      <c r="H14">
        <f>(5/2+($B$9^(1/3)-5/2)*EXP(-2*D14/3))^3</f>
        <v>2.0843152107295784</v>
      </c>
      <c r="I14">
        <f>ABS(H14-G14)</f>
        <v>0.14226890942284642</v>
      </c>
      <c r="J14">
        <f>I14/ABS(H14)</f>
        <v>6.8256906964205125E-2</v>
      </c>
      <c r="K14">
        <f>J14*100</f>
        <v>6.8256906964205122</v>
      </c>
    </row>
    <row r="15" spans="1:11" x14ac:dyDescent="0.25">
      <c r="A15">
        <f>D14</f>
        <v>0.5</v>
      </c>
      <c r="B15">
        <f>G14</f>
        <v>1.9420463013067319</v>
      </c>
      <c r="C15">
        <f>5*B15^(2/3)-2*B15</f>
        <v>3.8988362006114583</v>
      </c>
      <c r="D15">
        <f>A15+$B$10</f>
        <v>1</v>
      </c>
      <c r="E15">
        <f>B15+$B$10*C15</f>
        <v>3.8914644016124611</v>
      </c>
      <c r="F15">
        <f>5*E15^(2/3)-2*E15</f>
        <v>4.5873279073770901</v>
      </c>
      <c r="G15">
        <f>B15+($B$10/2)*(C15+F15)</f>
        <v>4.0635873283038695</v>
      </c>
      <c r="H15">
        <f>(5/2+($B$9^(1/3)-5/2)*EXP(-2*D15/3))^3</f>
        <v>4.2827555620548496</v>
      </c>
      <c r="I15">
        <f>ABS(H15-G15)</f>
        <v>0.21916823375098016</v>
      </c>
      <c r="J15">
        <f>I15/ABS(H15)</f>
        <v>5.1174583880716294E-2</v>
      </c>
      <c r="K15">
        <f>J15*100</f>
        <v>5.1174583880716291</v>
      </c>
    </row>
    <row r="16" spans="1:11" x14ac:dyDescent="0.25">
      <c r="A16">
        <f t="shared" ref="A16:A32" si="0">D15</f>
        <v>1</v>
      </c>
      <c r="B16">
        <f t="shared" ref="B16:B32" si="1">G15</f>
        <v>4.0635873283038695</v>
      </c>
      <c r="C16">
        <f t="shared" ref="C16:C32" si="2">5*B16^(2/3)-2*B16</f>
        <v>4.605209570472601</v>
      </c>
      <c r="D16">
        <f t="shared" ref="D16:D32" si="3">A16+$B$10</f>
        <v>1.5</v>
      </c>
      <c r="E16">
        <f t="shared" ref="E16:E32" si="4">B16+$B$10*C16</f>
        <v>6.36619211354017</v>
      </c>
      <c r="F16">
        <f t="shared" ref="F16:F32" si="5">5*E16^(2/3)-2*E16</f>
        <v>4.4423423256776626</v>
      </c>
      <c r="G16">
        <f t="shared" ref="G16:G32" si="6">B16+($B$10/2)*(C16+F16)</f>
        <v>6.3254753023414354</v>
      </c>
      <c r="H16">
        <f t="shared" ref="H16:H32" si="7">(5/2+($B$9^(1/3)-5/2)*EXP(-2*D16/3))^3</f>
        <v>6.5632298752638647</v>
      </c>
      <c r="I16">
        <f t="shared" ref="I16:I32" si="8">ABS(H16-G16)</f>
        <v>0.2377545729224293</v>
      </c>
      <c r="J16">
        <f t="shared" ref="J16:J32" si="9">I16/ABS(H16)</f>
        <v>3.6225239316773246E-2</v>
      </c>
      <c r="K16">
        <f t="shared" ref="K16:K32" si="10">J16*100</f>
        <v>3.6225239316773248</v>
      </c>
    </row>
    <row r="17" spans="1:11" x14ac:dyDescent="0.25">
      <c r="A17">
        <f t="shared" si="0"/>
        <v>1.5</v>
      </c>
      <c r="B17">
        <f t="shared" si="1"/>
        <v>6.3254753023414354</v>
      </c>
      <c r="C17">
        <f t="shared" si="2"/>
        <v>4.45046706452767</v>
      </c>
      <c r="D17">
        <f t="shared" si="3"/>
        <v>2</v>
      </c>
      <c r="E17">
        <f t="shared" si="4"/>
        <v>8.5507088346052704</v>
      </c>
      <c r="F17">
        <f t="shared" si="5"/>
        <v>3.8062096353458017</v>
      </c>
      <c r="G17">
        <f t="shared" si="6"/>
        <v>8.3896444773098029</v>
      </c>
      <c r="H17">
        <f t="shared" si="7"/>
        <v>8.6179536998015553</v>
      </c>
      <c r="I17">
        <f t="shared" si="8"/>
        <v>0.22830922249175245</v>
      </c>
      <c r="J17">
        <f t="shared" si="9"/>
        <v>2.6492277685015841E-2</v>
      </c>
      <c r="K17">
        <f t="shared" si="10"/>
        <v>2.6492277685015839</v>
      </c>
    </row>
    <row r="18" spans="1:11" x14ac:dyDescent="0.25">
      <c r="A18">
        <f t="shared" si="0"/>
        <v>2</v>
      </c>
      <c r="B18">
        <f t="shared" si="1"/>
        <v>8.3896444773098029</v>
      </c>
      <c r="C18">
        <f t="shared" si="2"/>
        <v>3.8649578558813253</v>
      </c>
      <c r="D18">
        <f t="shared" si="3"/>
        <v>2.5</v>
      </c>
      <c r="E18">
        <f t="shared" si="4"/>
        <v>10.322123405250466</v>
      </c>
      <c r="F18">
        <f t="shared" si="5"/>
        <v>3.0594473854638409</v>
      </c>
      <c r="G18">
        <f t="shared" si="6"/>
        <v>10.120745787646094</v>
      </c>
      <c r="H18">
        <f t="shared" si="7"/>
        <v>10.32778316190408</v>
      </c>
      <c r="I18">
        <f t="shared" si="8"/>
        <v>0.20703737425798607</v>
      </c>
      <c r="J18">
        <f t="shared" si="9"/>
        <v>2.0046642247649172E-2</v>
      </c>
      <c r="K18">
        <f t="shared" si="10"/>
        <v>2.0046642247649173</v>
      </c>
    </row>
    <row r="19" spans="1:11" x14ac:dyDescent="0.25">
      <c r="A19">
        <f t="shared" si="0"/>
        <v>2.5</v>
      </c>
      <c r="B19">
        <f t="shared" si="1"/>
        <v>10.120745787646094</v>
      </c>
      <c r="C19">
        <f t="shared" si="2"/>
        <v>3.1528960724856958</v>
      </c>
      <c r="D19">
        <f t="shared" si="3"/>
        <v>3</v>
      </c>
      <c r="E19">
        <f t="shared" si="4"/>
        <v>11.697193823888941</v>
      </c>
      <c r="F19">
        <f t="shared" si="5"/>
        <v>2.3702750889533064</v>
      </c>
      <c r="G19">
        <f t="shared" si="6"/>
        <v>11.501538578005844</v>
      </c>
      <c r="H19">
        <f t="shared" si="7"/>
        <v>11.682827794697335</v>
      </c>
      <c r="I19">
        <f t="shared" si="8"/>
        <v>0.18128921669149101</v>
      </c>
      <c r="J19">
        <f t="shared" si="9"/>
        <v>1.5517580150738465E-2</v>
      </c>
      <c r="K19">
        <f t="shared" si="10"/>
        <v>1.5517580150738464</v>
      </c>
    </row>
    <row r="20" spans="1:11" x14ac:dyDescent="0.25">
      <c r="A20">
        <f t="shared" si="0"/>
        <v>3</v>
      </c>
      <c r="B20">
        <f t="shared" si="1"/>
        <v>11.501538578005844</v>
      </c>
      <c r="C20">
        <f t="shared" si="2"/>
        <v>2.4734737378645697</v>
      </c>
      <c r="D20">
        <f t="shared" si="3"/>
        <v>3.5</v>
      </c>
      <c r="E20">
        <f t="shared" si="4"/>
        <v>12.738275446938129</v>
      </c>
      <c r="F20">
        <f t="shared" si="5"/>
        <v>1.7950371592493646</v>
      </c>
      <c r="G20">
        <f t="shared" si="6"/>
        <v>12.568666302284328</v>
      </c>
      <c r="H20">
        <f t="shared" si="7"/>
        <v>12.72337017559216</v>
      </c>
      <c r="I20">
        <f t="shared" si="8"/>
        <v>0.15470387330783275</v>
      </c>
      <c r="J20">
        <f t="shared" si="9"/>
        <v>1.2159032644087372E-2</v>
      </c>
      <c r="K20">
        <f t="shared" si="10"/>
        <v>1.2159032644087373</v>
      </c>
    </row>
    <row r="21" spans="1:11" x14ac:dyDescent="0.25">
      <c r="A21">
        <f t="shared" si="0"/>
        <v>3.5</v>
      </c>
      <c r="B21">
        <f t="shared" si="1"/>
        <v>12.568666302284328</v>
      </c>
      <c r="C21">
        <f t="shared" si="2"/>
        <v>1.8916356537778753</v>
      </c>
      <c r="D21">
        <f t="shared" si="3"/>
        <v>4</v>
      </c>
      <c r="E21">
        <f t="shared" si="4"/>
        <v>13.514484129173265</v>
      </c>
      <c r="F21">
        <f t="shared" si="5"/>
        <v>1.3395282505040811</v>
      </c>
      <c r="G21">
        <f t="shared" si="6"/>
        <v>13.376457278354817</v>
      </c>
      <c r="H21">
        <f t="shared" si="7"/>
        <v>13.505764225663038</v>
      </c>
      <c r="I21">
        <f t="shared" si="8"/>
        <v>0.1293069473082209</v>
      </c>
      <c r="J21">
        <f t="shared" si="9"/>
        <v>9.5742044024815509E-3</v>
      </c>
      <c r="K21">
        <f t="shared" si="10"/>
        <v>0.95742044024815509</v>
      </c>
    </row>
    <row r="22" spans="1:11" x14ac:dyDescent="0.25">
      <c r="A22">
        <f t="shared" si="0"/>
        <v>4</v>
      </c>
      <c r="B22">
        <f t="shared" si="1"/>
        <v>13.376457278354817</v>
      </c>
      <c r="C22">
        <f t="shared" si="2"/>
        <v>1.4220952294137525</v>
      </c>
      <c r="D22">
        <f t="shared" si="3"/>
        <v>4.5</v>
      </c>
      <c r="E22">
        <f t="shared" si="4"/>
        <v>14.087504893061693</v>
      </c>
      <c r="F22">
        <f t="shared" si="5"/>
        <v>0.98981629459815323</v>
      </c>
      <c r="G22">
        <f t="shared" si="6"/>
        <v>13.979435159357793</v>
      </c>
      <c r="H22">
        <f t="shared" si="7"/>
        <v>14.085669381214011</v>
      </c>
      <c r="I22">
        <f t="shared" si="8"/>
        <v>0.10623422185621756</v>
      </c>
      <c r="J22">
        <f t="shared" si="9"/>
        <v>7.5420073395944982E-3</v>
      </c>
      <c r="K22">
        <f t="shared" si="10"/>
        <v>0.75420073395944986</v>
      </c>
    </row>
    <row r="23" spans="1:11" x14ac:dyDescent="0.25">
      <c r="A23">
        <f t="shared" si="0"/>
        <v>4.5</v>
      </c>
      <c r="B23">
        <f t="shared" si="1"/>
        <v>13.979435159357793</v>
      </c>
      <c r="C23">
        <f t="shared" si="2"/>
        <v>1.0566092973431687</v>
      </c>
      <c r="D23">
        <f t="shared" si="3"/>
        <v>5</v>
      </c>
      <c r="E23">
        <f t="shared" si="4"/>
        <v>14.507739808029378</v>
      </c>
      <c r="F23">
        <f t="shared" si="5"/>
        <v>0.72649804041568444</v>
      </c>
      <c r="G23">
        <f t="shared" si="6"/>
        <v>14.425211993797507</v>
      </c>
      <c r="H23">
        <f t="shared" si="7"/>
        <v>14.511241432742152</v>
      </c>
      <c r="I23">
        <f t="shared" si="8"/>
        <v>8.6029438944644099E-2</v>
      </c>
      <c r="J23">
        <f t="shared" si="9"/>
        <v>5.9284685837100943E-3</v>
      </c>
      <c r="K23">
        <f t="shared" si="10"/>
        <v>0.59284685837100948</v>
      </c>
    </row>
    <row r="24" spans="1:11" x14ac:dyDescent="0.25">
      <c r="A24">
        <f t="shared" si="0"/>
        <v>5</v>
      </c>
      <c r="B24">
        <f t="shared" si="1"/>
        <v>14.425211993797507</v>
      </c>
      <c r="C24">
        <f t="shared" si="2"/>
        <v>0.77865423420850632</v>
      </c>
      <c r="D24">
        <f t="shared" si="3"/>
        <v>5.5</v>
      </c>
      <c r="E24">
        <f t="shared" si="4"/>
        <v>14.814539110901761</v>
      </c>
      <c r="F24">
        <f t="shared" si="5"/>
        <v>0.53074332919998923</v>
      </c>
      <c r="G24">
        <f t="shared" si="6"/>
        <v>14.752561384649631</v>
      </c>
      <c r="H24">
        <f t="shared" si="7"/>
        <v>14.821391378285281</v>
      </c>
      <c r="I24">
        <f t="shared" si="8"/>
        <v>6.8829993635649345E-2</v>
      </c>
      <c r="J24">
        <f t="shared" si="9"/>
        <v>4.6439630314662429E-3</v>
      </c>
      <c r="K24">
        <f t="shared" si="10"/>
        <v>0.46439630314662428</v>
      </c>
    </row>
    <row r="25" spans="1:11" x14ac:dyDescent="0.25">
      <c r="A25">
        <f t="shared" si="0"/>
        <v>5.5</v>
      </c>
      <c r="B25">
        <f t="shared" si="1"/>
        <v>14.752561384649631</v>
      </c>
      <c r="C25">
        <f t="shared" si="2"/>
        <v>0.57052278279685709</v>
      </c>
      <c r="D25">
        <f t="shared" si="3"/>
        <v>6</v>
      </c>
      <c r="E25">
        <f t="shared" si="4"/>
        <v>15.03782277604806</v>
      </c>
      <c r="F25">
        <f t="shared" si="5"/>
        <v>0.38646424681635239</v>
      </c>
      <c r="G25">
        <f t="shared" si="6"/>
        <v>14.991808142052934</v>
      </c>
      <c r="H25">
        <f t="shared" si="7"/>
        <v>15.046320272748767</v>
      </c>
      <c r="I25">
        <f t="shared" si="8"/>
        <v>5.4512130695833605E-2</v>
      </c>
      <c r="J25">
        <f t="shared" si="9"/>
        <v>3.6229542976407045E-3</v>
      </c>
      <c r="K25">
        <f t="shared" si="10"/>
        <v>0.36229542976407042</v>
      </c>
    </row>
    <row r="26" spans="1:11" x14ac:dyDescent="0.25">
      <c r="A26">
        <f t="shared" si="0"/>
        <v>6</v>
      </c>
      <c r="B26">
        <f t="shared" si="1"/>
        <v>14.991808142052934</v>
      </c>
      <c r="C26">
        <f t="shared" si="2"/>
        <v>0.41632056689103081</v>
      </c>
      <c r="D26">
        <f t="shared" si="3"/>
        <v>6.5</v>
      </c>
      <c r="E26">
        <f t="shared" si="4"/>
        <v>15.199968425498449</v>
      </c>
      <c r="F26">
        <f t="shared" si="5"/>
        <v>0.28075354845933376</v>
      </c>
      <c r="G26">
        <f t="shared" si="6"/>
        <v>15.166076670890526</v>
      </c>
      <c r="H26">
        <f t="shared" si="7"/>
        <v>15.208880658784741</v>
      </c>
      <c r="I26">
        <f t="shared" si="8"/>
        <v>4.2803987894215467E-2</v>
      </c>
      <c r="J26">
        <f t="shared" si="9"/>
        <v>2.8144075066754912E-3</v>
      </c>
      <c r="K26">
        <f t="shared" si="10"/>
        <v>0.28144075066754914</v>
      </c>
    </row>
    <row r="27" spans="1:11" x14ac:dyDescent="0.25">
      <c r="A27">
        <f t="shared" si="0"/>
        <v>6.5</v>
      </c>
      <c r="B27">
        <f t="shared" si="1"/>
        <v>15.166076670890526</v>
      </c>
      <c r="C27">
        <f t="shared" si="2"/>
        <v>0.30291375091239559</v>
      </c>
      <c r="D27">
        <f t="shared" si="3"/>
        <v>7</v>
      </c>
      <c r="E27">
        <f t="shared" si="4"/>
        <v>15.317533546346723</v>
      </c>
      <c r="F27">
        <f t="shared" si="5"/>
        <v>0.20362123373244856</v>
      </c>
      <c r="G27">
        <f t="shared" si="6"/>
        <v>15.292710417051737</v>
      </c>
      <c r="H27">
        <f t="shared" si="7"/>
        <v>15.326077495607297</v>
      </c>
      <c r="I27">
        <f t="shared" si="8"/>
        <v>3.3367078555560425E-2</v>
      </c>
      <c r="J27">
        <f t="shared" si="9"/>
        <v>2.1771440582317278E-3</v>
      </c>
      <c r="K27">
        <f t="shared" si="10"/>
        <v>0.21771440582317278</v>
      </c>
    </row>
    <row r="28" spans="1:11" x14ac:dyDescent="0.25">
      <c r="A28">
        <f t="shared" si="0"/>
        <v>7</v>
      </c>
      <c r="B28">
        <f t="shared" si="1"/>
        <v>15.292710417051737</v>
      </c>
      <c r="C28">
        <f t="shared" si="2"/>
        <v>0.21994099296688319</v>
      </c>
      <c r="D28">
        <f t="shared" si="3"/>
        <v>7.5</v>
      </c>
      <c r="E28">
        <f t="shared" si="4"/>
        <v>15.402680913535178</v>
      </c>
      <c r="F28">
        <f t="shared" si="5"/>
        <v>0.14750529744897634</v>
      </c>
      <c r="G28">
        <f t="shared" si="6"/>
        <v>15.384571989655701</v>
      </c>
      <c r="H28">
        <f t="shared" si="7"/>
        <v>15.410421916078052</v>
      </c>
      <c r="I28">
        <f t="shared" si="8"/>
        <v>2.5849926422351288E-2</v>
      </c>
      <c r="J28">
        <f t="shared" si="9"/>
        <v>1.6774314527612938E-3</v>
      </c>
      <c r="K28">
        <f t="shared" si="10"/>
        <v>0.16774314527612938</v>
      </c>
    </row>
    <row r="29" spans="1:11" x14ac:dyDescent="0.25">
      <c r="A29">
        <f t="shared" si="0"/>
        <v>7.5</v>
      </c>
      <c r="B29">
        <f t="shared" si="1"/>
        <v>15.384571989655701</v>
      </c>
      <c r="C29">
        <f t="shared" si="2"/>
        <v>0.15945754237147725</v>
      </c>
      <c r="D29">
        <f t="shared" si="3"/>
        <v>8</v>
      </c>
      <c r="E29">
        <f t="shared" si="4"/>
        <v>15.464300760841439</v>
      </c>
      <c r="F29">
        <f t="shared" si="5"/>
        <v>0.10676385897768625</v>
      </c>
      <c r="G29">
        <f t="shared" si="6"/>
        <v>15.451127339992992</v>
      </c>
      <c r="H29">
        <f t="shared" si="7"/>
        <v>15.471047256912549</v>
      </c>
      <c r="I29">
        <f t="shared" si="8"/>
        <v>1.9919916919556968E-2</v>
      </c>
      <c r="J29">
        <f t="shared" si="9"/>
        <v>1.2875609898131905E-3</v>
      </c>
      <c r="K29">
        <f t="shared" si="10"/>
        <v>0.12875609898131904</v>
      </c>
    </row>
    <row r="30" spans="1:11" x14ac:dyDescent="0.25">
      <c r="A30">
        <f t="shared" si="0"/>
        <v>8</v>
      </c>
      <c r="B30">
        <f t="shared" si="1"/>
        <v>15.451127339992992</v>
      </c>
      <c r="C30">
        <f t="shared" si="2"/>
        <v>0.11548300431432423</v>
      </c>
      <c r="D30">
        <f t="shared" si="3"/>
        <v>8.5</v>
      </c>
      <c r="E30">
        <f t="shared" si="4"/>
        <v>15.508868842150154</v>
      </c>
      <c r="F30">
        <f t="shared" si="5"/>
        <v>7.7228328315548822E-2</v>
      </c>
      <c r="G30">
        <f t="shared" si="6"/>
        <v>15.499305173150461</v>
      </c>
      <c r="H30">
        <f t="shared" si="7"/>
        <v>15.514584853895897</v>
      </c>
      <c r="I30">
        <f t="shared" si="8"/>
        <v>1.5279680745436508E-2</v>
      </c>
      <c r="J30">
        <f t="shared" si="9"/>
        <v>9.8485914314359489E-4</v>
      </c>
      <c r="K30">
        <f t="shared" si="10"/>
        <v>9.8485914314359491E-2</v>
      </c>
    </row>
    <row r="31" spans="1:11" x14ac:dyDescent="0.25">
      <c r="A31">
        <f t="shared" si="0"/>
        <v>8.5</v>
      </c>
      <c r="B31">
        <f t="shared" si="1"/>
        <v>15.499305173150461</v>
      </c>
      <c r="C31">
        <f t="shared" si="2"/>
        <v>8.3571044486014046E-2</v>
      </c>
      <c r="D31">
        <f t="shared" si="3"/>
        <v>9</v>
      </c>
      <c r="E31">
        <f t="shared" si="4"/>
        <v>15.541090695393468</v>
      </c>
      <c r="F31">
        <f t="shared" si="5"/>
        <v>5.5839161238949941E-2</v>
      </c>
      <c r="G31">
        <f t="shared" si="6"/>
        <v>15.534157724581702</v>
      </c>
      <c r="H31">
        <f t="shared" si="7"/>
        <v>15.545831085170796</v>
      </c>
      <c r="I31">
        <f t="shared" si="8"/>
        <v>1.1673360589094628E-2</v>
      </c>
      <c r="J31">
        <f t="shared" si="9"/>
        <v>7.5089974444852124E-4</v>
      </c>
      <c r="K31">
        <f t="shared" si="10"/>
        <v>7.5089974444852131E-2</v>
      </c>
    </row>
    <row r="32" spans="1:11" x14ac:dyDescent="0.25">
      <c r="A32">
        <f t="shared" si="0"/>
        <v>9</v>
      </c>
      <c r="B32">
        <f t="shared" si="1"/>
        <v>15.534157724581702</v>
      </c>
      <c r="C32">
        <f t="shared" si="2"/>
        <v>6.0443846328656292E-2</v>
      </c>
      <c r="D32">
        <f t="shared" si="3"/>
        <v>9.5</v>
      </c>
      <c r="E32">
        <f t="shared" si="4"/>
        <v>15.56437964774603</v>
      </c>
      <c r="F32">
        <f t="shared" si="5"/>
        <v>4.0361213637272186E-2</v>
      </c>
      <c r="G32">
        <f t="shared" si="6"/>
        <v>15.559358989573184</v>
      </c>
      <c r="H32">
        <f t="shared" si="7"/>
        <v>15.568245769341994</v>
      </c>
      <c r="I32">
        <f t="shared" si="8"/>
        <v>8.8867797688099159E-3</v>
      </c>
      <c r="J32">
        <f t="shared" si="9"/>
        <v>5.7082730453230268E-4</v>
      </c>
      <c r="K32">
        <f t="shared" si="10"/>
        <v>5.7082730453230271E-2</v>
      </c>
    </row>
    <row r="33" spans="1:11" x14ac:dyDescent="0.25">
      <c r="A33" s="7">
        <f>D32</f>
        <v>9.5</v>
      </c>
      <c r="B33" s="7">
        <f>G32</f>
        <v>15.559358989573184</v>
      </c>
      <c r="C33" s="7">
        <f>5*B33^(2/3)-2*B33</f>
        <v>4.3699279029883797E-2</v>
      </c>
      <c r="D33" s="7">
        <f>A33+$B$10</f>
        <v>10</v>
      </c>
      <c r="E33" s="7">
        <f>B33+$B$10*C33</f>
        <v>15.581208629088126</v>
      </c>
      <c r="F33" s="7">
        <f>5*E33^(2/3)-2*E33</f>
        <v>2.9166939515828716E-2</v>
      </c>
      <c r="G33" s="7">
        <f>B33+($B$10/2)*(C33+F33)</f>
        <v>15.577575544209612</v>
      </c>
      <c r="H33" s="7">
        <f>(5/2+($B$9^(1/3)-5/2)*EXP(-2*D33/3))^3</f>
        <v>15.584319835435055</v>
      </c>
      <c r="I33" s="7">
        <f>ABS(H33-G33)</f>
        <v>6.7442912254431775E-3</v>
      </c>
      <c r="J33" s="7">
        <f>I33/ABS(H33)</f>
        <v>4.3276134580530457E-4</v>
      </c>
      <c r="K33" s="7">
        <f>J33*100</f>
        <v>4.3276134580530458E-2</v>
      </c>
    </row>
    <row r="35" spans="1:11" x14ac:dyDescent="0.25">
      <c r="G35" s="5" t="s">
        <v>19</v>
      </c>
      <c r="H35" s="6">
        <f>G33</f>
        <v>15.577575544209612</v>
      </c>
    </row>
    <row r="37" spans="1:11" x14ac:dyDescent="0.25">
      <c r="G37" s="5" t="s">
        <v>20</v>
      </c>
      <c r="H37">
        <f>(5/2)^3</f>
        <v>15.625</v>
      </c>
    </row>
  </sheetData>
  <mergeCells count="1">
    <mergeCell ref="A1:K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7DC9-784B-4965-98E2-3D1CF28FD5F0}">
  <dimension ref="A1:I37"/>
  <sheetViews>
    <sheetView workbookViewId="0">
      <selection activeCell="F32" sqref="F32"/>
    </sheetView>
  </sheetViews>
  <sheetFormatPr baseColWidth="10" defaultColWidth="9.140625" defaultRowHeight="15" x14ac:dyDescent="0.25"/>
  <cols>
    <col min="2" max="2" width="13.7109375" customWidth="1"/>
    <col min="3" max="3" width="18.42578125" customWidth="1"/>
    <col min="4" max="4" width="7.42578125" customWidth="1"/>
    <col min="5" max="5" width="11.7109375" customWidth="1"/>
    <col min="6" max="6" width="19.5703125" customWidth="1"/>
    <col min="7" max="7" width="13.42578125" customWidth="1"/>
    <col min="8" max="8" width="15.28515625" customWidth="1"/>
    <col min="9" max="9" width="16" customWidth="1"/>
    <col min="12" max="12" width="14.5703125" customWidth="1"/>
    <col min="15" max="15" width="11" customWidth="1"/>
  </cols>
  <sheetData>
    <row r="1" spans="1:9" x14ac:dyDescent="0.25">
      <c r="A1" s="1" t="s">
        <v>21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t="s">
        <v>1</v>
      </c>
    </row>
    <row r="4" spans="1:9" x14ac:dyDescent="0.25">
      <c r="A4" t="s">
        <v>2</v>
      </c>
    </row>
    <row r="5" spans="1:9" x14ac:dyDescent="0.25">
      <c r="A5" t="s">
        <v>3</v>
      </c>
    </row>
    <row r="7" spans="1:9" x14ac:dyDescent="0.25">
      <c r="A7" s="3" t="s">
        <v>4</v>
      </c>
      <c r="B7" s="3">
        <v>0</v>
      </c>
    </row>
    <row r="8" spans="1:9" x14ac:dyDescent="0.25">
      <c r="A8" s="3" t="s">
        <v>5</v>
      </c>
      <c r="B8" s="3">
        <v>10</v>
      </c>
    </row>
    <row r="9" spans="1:9" x14ac:dyDescent="0.25">
      <c r="A9" s="3" t="s">
        <v>6</v>
      </c>
      <c r="B9" s="3">
        <v>0.5</v>
      </c>
    </row>
    <row r="10" spans="1:9" x14ac:dyDescent="0.25">
      <c r="A10" s="3" t="s">
        <v>7</v>
      </c>
      <c r="B10" s="3">
        <v>0.5</v>
      </c>
    </row>
    <row r="13" spans="1:9" x14ac:dyDescent="0.25">
      <c r="A13" s="4" t="s">
        <v>8</v>
      </c>
      <c r="B13" s="4" t="s">
        <v>9</v>
      </c>
      <c r="C13" s="4" t="s">
        <v>22</v>
      </c>
      <c r="D13" s="4" t="s">
        <v>11</v>
      </c>
      <c r="E13" s="4" t="s">
        <v>23</v>
      </c>
      <c r="F13" s="4" t="s">
        <v>15</v>
      </c>
      <c r="G13" s="4" t="s">
        <v>16</v>
      </c>
      <c r="H13" s="4" t="s">
        <v>17</v>
      </c>
      <c r="I13" s="4" t="s">
        <v>18</v>
      </c>
    </row>
    <row r="14" spans="1:9" x14ac:dyDescent="0.25">
      <c r="A14">
        <f>$B$7</f>
        <v>0</v>
      </c>
      <c r="B14">
        <f>$B$9</f>
        <v>0.5</v>
      </c>
      <c r="C14">
        <f>5*B14^(2/3)-2*B14</f>
        <v>2.1498026247371831</v>
      </c>
      <c r="D14">
        <f>A14+$B$10</f>
        <v>0.5</v>
      </c>
      <c r="E14">
        <f>B14+$B$10*C14</f>
        <v>1.5749013123685915</v>
      </c>
      <c r="F14">
        <f>(5/2+($B$9^(1/3)-5/2)*EXP(-2*D14/3))^3</f>
        <v>2.0843152107295784</v>
      </c>
      <c r="G14">
        <f>ABS(F14-E14)</f>
        <v>0.50941389836098683</v>
      </c>
      <c r="H14">
        <f>G14/ABS(F14)</f>
        <v>0.24440348357035466</v>
      </c>
      <c r="I14">
        <f>H14*100</f>
        <v>24.440348357035464</v>
      </c>
    </row>
    <row r="15" spans="1:9" x14ac:dyDescent="0.25">
      <c r="A15">
        <f>D14</f>
        <v>0.5</v>
      </c>
      <c r="B15">
        <f>E14</f>
        <v>1.5749013123685915</v>
      </c>
      <c r="C15">
        <f>5*B15^(2/3)-2*B15</f>
        <v>3.6183825804897447</v>
      </c>
      <c r="D15">
        <f>A15+$B$10</f>
        <v>1</v>
      </c>
      <c r="E15">
        <f>B15+$B$10*C15</f>
        <v>3.3840926026134639</v>
      </c>
      <c r="F15">
        <f>(5/2+($B$9^(1/3)-5/2)*EXP(-2*D15/3))^3</f>
        <v>4.2827555620548496</v>
      </c>
      <c r="G15">
        <f>ABS(F15-E15)</f>
        <v>0.89866295944138574</v>
      </c>
      <c r="H15">
        <f>G15/ABS(F15)</f>
        <v>0.20983288595863983</v>
      </c>
      <c r="I15">
        <f>H15*100</f>
        <v>20.983288595863982</v>
      </c>
    </row>
    <row r="16" spans="1:9" x14ac:dyDescent="0.25">
      <c r="A16">
        <f t="shared" ref="A16:B32" si="0">D15</f>
        <v>1</v>
      </c>
      <c r="B16">
        <f t="shared" si="0"/>
        <v>3.3840926026134639</v>
      </c>
      <c r="C16">
        <f t="shared" ref="C16:C33" si="1">5*B16^(2/3)-2*B16</f>
        <v>4.5020115164563581</v>
      </c>
      <c r="D16">
        <f t="shared" ref="D16:D33" si="2">A16+$B$10</f>
        <v>1.5</v>
      </c>
      <c r="E16">
        <f t="shared" ref="E16:E33" si="3">B16+$B$10*C16</f>
        <v>5.635098360841643</v>
      </c>
      <c r="F16">
        <f t="shared" ref="F16:F33" si="4">(5/2+($B$9^(1/3)-5/2)*EXP(-2*D16/3))^3</f>
        <v>6.5632298752638647</v>
      </c>
      <c r="G16">
        <f t="shared" ref="G16:G33" si="5">ABS(F16-E16)</f>
        <v>0.92813151442222175</v>
      </c>
      <c r="H16">
        <f t="shared" ref="H16:H33" si="6">G16/ABS(F16)</f>
        <v>0.14141383618456724</v>
      </c>
      <c r="I16">
        <f t="shared" ref="I16:I33" si="7">H16*100</f>
        <v>14.141383618456723</v>
      </c>
    </row>
    <row r="17" spans="1:9" x14ac:dyDescent="0.25">
      <c r="A17">
        <f t="shared" si="0"/>
        <v>1.5</v>
      </c>
      <c r="B17">
        <f t="shared" si="0"/>
        <v>5.635098360841643</v>
      </c>
      <c r="C17">
        <f t="shared" si="1"/>
        <v>4.5630873993193379</v>
      </c>
      <c r="D17">
        <f t="shared" si="2"/>
        <v>2</v>
      </c>
      <c r="E17">
        <f t="shared" si="3"/>
        <v>7.9166420605013119</v>
      </c>
      <c r="F17">
        <f t="shared" si="4"/>
        <v>8.6179536998015553</v>
      </c>
      <c r="G17">
        <f t="shared" si="5"/>
        <v>0.70131163930024343</v>
      </c>
      <c r="H17">
        <f t="shared" si="6"/>
        <v>8.1377977154413403E-2</v>
      </c>
      <c r="I17">
        <f t="shared" si="7"/>
        <v>8.1377977154413408</v>
      </c>
    </row>
    <row r="18" spans="1:9" x14ac:dyDescent="0.25">
      <c r="A18">
        <f t="shared" si="0"/>
        <v>2</v>
      </c>
      <c r="B18">
        <f t="shared" si="0"/>
        <v>7.9166420605013119</v>
      </c>
      <c r="C18">
        <f t="shared" si="1"/>
        <v>4.0275435867173393</v>
      </c>
      <c r="D18">
        <f t="shared" si="2"/>
        <v>2.5</v>
      </c>
      <c r="E18">
        <f t="shared" si="3"/>
        <v>9.9304138538599815</v>
      </c>
      <c r="F18">
        <f t="shared" si="4"/>
        <v>10.32778316190408</v>
      </c>
      <c r="G18">
        <f t="shared" si="5"/>
        <v>0.39736930804409809</v>
      </c>
      <c r="H18">
        <f t="shared" si="6"/>
        <v>3.8475760171831221E-2</v>
      </c>
      <c r="I18">
        <f t="shared" si="7"/>
        <v>3.8475760171831221</v>
      </c>
    </row>
    <row r="19" spans="1:9" x14ac:dyDescent="0.25">
      <c r="A19">
        <f t="shared" si="0"/>
        <v>2.5</v>
      </c>
      <c r="B19">
        <f t="shared" si="0"/>
        <v>9.9304138538599815</v>
      </c>
      <c r="C19">
        <f t="shared" si="1"/>
        <v>3.2393277815832846</v>
      </c>
      <c r="D19">
        <f t="shared" si="2"/>
        <v>3</v>
      </c>
      <c r="E19">
        <f t="shared" si="3"/>
        <v>11.550077744651624</v>
      </c>
      <c r="F19">
        <f t="shared" si="4"/>
        <v>11.682827794697335</v>
      </c>
      <c r="G19">
        <f t="shared" si="5"/>
        <v>0.13275005004571128</v>
      </c>
      <c r="H19">
        <f t="shared" si="6"/>
        <v>1.136283546916309E-2</v>
      </c>
      <c r="I19">
        <f t="shared" si="7"/>
        <v>1.1362835469163091</v>
      </c>
    </row>
    <row r="20" spans="1:9" x14ac:dyDescent="0.25">
      <c r="A20">
        <f t="shared" si="0"/>
        <v>3</v>
      </c>
      <c r="B20">
        <f t="shared" si="0"/>
        <v>11.550077744651624</v>
      </c>
      <c r="C20">
        <f t="shared" si="1"/>
        <v>2.4480230609438394</v>
      </c>
      <c r="D20">
        <f t="shared" si="2"/>
        <v>3.5</v>
      </c>
      <c r="E20">
        <f t="shared" si="3"/>
        <v>12.774089275123544</v>
      </c>
      <c r="F20">
        <f t="shared" si="4"/>
        <v>12.72337017559216</v>
      </c>
      <c r="G20">
        <f t="shared" si="5"/>
        <v>5.0719099531383094E-2</v>
      </c>
      <c r="H20">
        <f t="shared" si="6"/>
        <v>3.98629441975051E-3</v>
      </c>
      <c r="I20">
        <f t="shared" si="7"/>
        <v>0.39862944197505101</v>
      </c>
    </row>
    <row r="21" spans="1:9" x14ac:dyDescent="0.25">
      <c r="A21">
        <f t="shared" si="0"/>
        <v>3.5</v>
      </c>
      <c r="B21">
        <f t="shared" si="0"/>
        <v>12.774089275123544</v>
      </c>
      <c r="C21">
        <f t="shared" si="1"/>
        <v>1.7745018649717572</v>
      </c>
      <c r="D21">
        <f t="shared" si="2"/>
        <v>4</v>
      </c>
      <c r="E21">
        <f t="shared" si="3"/>
        <v>13.661340207609422</v>
      </c>
      <c r="F21">
        <f t="shared" si="4"/>
        <v>13.505764225663038</v>
      </c>
      <c r="G21">
        <f t="shared" si="5"/>
        <v>0.15557598194638445</v>
      </c>
      <c r="H21">
        <f t="shared" si="6"/>
        <v>1.1519228334429685E-2</v>
      </c>
      <c r="I21">
        <f t="shared" si="7"/>
        <v>1.1519228334429685</v>
      </c>
    </row>
    <row r="22" spans="1:9" x14ac:dyDescent="0.25">
      <c r="A22">
        <f t="shared" si="0"/>
        <v>4</v>
      </c>
      <c r="B22">
        <f t="shared" si="0"/>
        <v>13.661340207609422</v>
      </c>
      <c r="C22">
        <f t="shared" si="1"/>
        <v>1.2509578335170524</v>
      </c>
      <c r="D22">
        <f t="shared" si="2"/>
        <v>4.5</v>
      </c>
      <c r="E22">
        <f t="shared" si="3"/>
        <v>14.286819124367948</v>
      </c>
      <c r="F22">
        <f t="shared" si="4"/>
        <v>14.085669381214011</v>
      </c>
      <c r="G22">
        <f t="shared" si="5"/>
        <v>0.20114974315393752</v>
      </c>
      <c r="H22">
        <f t="shared" si="6"/>
        <v>1.4280453254299009E-2</v>
      </c>
      <c r="I22">
        <f t="shared" si="7"/>
        <v>1.4280453254299008</v>
      </c>
    </row>
    <row r="23" spans="1:9" x14ac:dyDescent="0.25">
      <c r="A23">
        <f t="shared" si="0"/>
        <v>4.5</v>
      </c>
      <c r="B23">
        <f t="shared" si="0"/>
        <v>14.286819124367948</v>
      </c>
      <c r="C23">
        <f t="shared" si="1"/>
        <v>0.86563165829121047</v>
      </c>
      <c r="D23">
        <f t="shared" si="2"/>
        <v>5</v>
      </c>
      <c r="E23">
        <f t="shared" si="3"/>
        <v>14.719634953513554</v>
      </c>
      <c r="F23">
        <f t="shared" si="4"/>
        <v>14.511241432742152</v>
      </c>
      <c r="G23">
        <f t="shared" si="5"/>
        <v>0.20839352077140205</v>
      </c>
      <c r="H23">
        <f t="shared" si="6"/>
        <v>1.4360833408863108E-2</v>
      </c>
      <c r="I23">
        <f t="shared" si="7"/>
        <v>1.4360833408863107</v>
      </c>
    </row>
    <row r="24" spans="1:9" x14ac:dyDescent="0.25">
      <c r="A24">
        <f t="shared" si="0"/>
        <v>5</v>
      </c>
      <c r="B24">
        <f t="shared" si="0"/>
        <v>14.719634953513554</v>
      </c>
      <c r="C24">
        <f t="shared" si="1"/>
        <v>0.59160816895234447</v>
      </c>
      <c r="D24">
        <f t="shared" si="2"/>
        <v>5.5</v>
      </c>
      <c r="E24">
        <f t="shared" si="3"/>
        <v>15.015439037989726</v>
      </c>
      <c r="F24">
        <f t="shared" si="4"/>
        <v>14.821391378285281</v>
      </c>
      <c r="G24">
        <f t="shared" si="5"/>
        <v>0.19404765970444515</v>
      </c>
      <c r="H24">
        <f t="shared" si="6"/>
        <v>1.309240507532532E-2</v>
      </c>
      <c r="I24">
        <f t="shared" si="7"/>
        <v>1.309240507532532</v>
      </c>
    </row>
    <row r="25" spans="1:9" x14ac:dyDescent="0.25">
      <c r="A25">
        <f t="shared" si="0"/>
        <v>5.5</v>
      </c>
      <c r="B25">
        <f t="shared" si="0"/>
        <v>15.015439037989726</v>
      </c>
      <c r="C25">
        <f t="shared" si="1"/>
        <v>0.40099573442046221</v>
      </c>
      <c r="D25">
        <f t="shared" si="2"/>
        <v>6</v>
      </c>
      <c r="E25">
        <f t="shared" si="3"/>
        <v>15.215936905199957</v>
      </c>
      <c r="F25">
        <f t="shared" si="4"/>
        <v>15.046320272748767</v>
      </c>
      <c r="G25">
        <f t="shared" si="5"/>
        <v>0.16961663245118963</v>
      </c>
      <c r="H25">
        <f t="shared" si="6"/>
        <v>1.1272964377768284E-2</v>
      </c>
      <c r="I25">
        <f t="shared" si="7"/>
        <v>1.1272964377768284</v>
      </c>
    </row>
    <row r="26" spans="1:9" x14ac:dyDescent="0.25">
      <c r="A26">
        <f t="shared" si="0"/>
        <v>6</v>
      </c>
      <c r="B26">
        <f t="shared" si="0"/>
        <v>15.215936905199957</v>
      </c>
      <c r="C26">
        <f t="shared" si="1"/>
        <v>0.27030076699496774</v>
      </c>
      <c r="D26">
        <f t="shared" si="2"/>
        <v>6.5</v>
      </c>
      <c r="E26">
        <f t="shared" si="3"/>
        <v>15.351087288697441</v>
      </c>
      <c r="F26">
        <f t="shared" si="4"/>
        <v>15.208880658784741</v>
      </c>
      <c r="G26">
        <f t="shared" si="5"/>
        <v>0.14220662991269961</v>
      </c>
      <c r="H26">
        <f t="shared" si="6"/>
        <v>9.3502364245694972E-3</v>
      </c>
      <c r="I26">
        <f t="shared" si="7"/>
        <v>0.93502364245694969</v>
      </c>
    </row>
    <row r="27" spans="1:9" x14ac:dyDescent="0.25">
      <c r="A27">
        <f t="shared" si="0"/>
        <v>6.5</v>
      </c>
      <c r="B27">
        <f t="shared" si="0"/>
        <v>15.351087288697441</v>
      </c>
      <c r="C27">
        <f t="shared" si="1"/>
        <v>0.181533006985795</v>
      </c>
      <c r="D27">
        <f t="shared" si="2"/>
        <v>7</v>
      </c>
      <c r="E27">
        <f t="shared" si="3"/>
        <v>15.441853792190338</v>
      </c>
      <c r="F27">
        <f t="shared" si="4"/>
        <v>15.326077495607297</v>
      </c>
      <c r="G27">
        <f t="shared" si="5"/>
        <v>0.11577629658304112</v>
      </c>
      <c r="H27">
        <f t="shared" si="6"/>
        <v>7.5542027381908048E-3</v>
      </c>
      <c r="I27">
        <f t="shared" si="7"/>
        <v>0.7554202738190805</v>
      </c>
    </row>
    <row r="28" spans="1:9" x14ac:dyDescent="0.25">
      <c r="A28">
        <f t="shared" si="0"/>
        <v>7</v>
      </c>
      <c r="B28">
        <f t="shared" si="0"/>
        <v>15.441853792190338</v>
      </c>
      <c r="C28">
        <f t="shared" si="1"/>
        <v>0.12161792019751871</v>
      </c>
      <c r="D28">
        <f t="shared" si="2"/>
        <v>7.5</v>
      </c>
      <c r="E28">
        <f t="shared" si="3"/>
        <v>15.502662752289098</v>
      </c>
      <c r="F28">
        <f t="shared" si="4"/>
        <v>15.410421916078052</v>
      </c>
      <c r="G28">
        <f t="shared" si="5"/>
        <v>9.2240836211045618E-2</v>
      </c>
      <c r="H28">
        <f t="shared" si="6"/>
        <v>5.9856139379810625E-3</v>
      </c>
      <c r="I28">
        <f t="shared" si="7"/>
        <v>0.59856139379810624</v>
      </c>
    </row>
    <row r="29" spans="1:9" x14ac:dyDescent="0.25">
      <c r="A29">
        <f t="shared" si="0"/>
        <v>7.5</v>
      </c>
      <c r="B29">
        <f t="shared" si="0"/>
        <v>15.502662752289098</v>
      </c>
      <c r="C29">
        <f t="shared" si="1"/>
        <v>8.1344565544483771E-2</v>
      </c>
      <c r="D29">
        <f t="shared" si="2"/>
        <v>8</v>
      </c>
      <c r="E29">
        <f t="shared" si="3"/>
        <v>15.54333503506134</v>
      </c>
      <c r="F29">
        <f t="shared" si="4"/>
        <v>15.471047256912549</v>
      </c>
      <c r="G29">
        <f t="shared" si="5"/>
        <v>7.2287778148790949E-2</v>
      </c>
      <c r="H29">
        <f t="shared" si="6"/>
        <v>4.6724553902769816E-3</v>
      </c>
      <c r="I29">
        <f t="shared" si="7"/>
        <v>0.46724553902769816</v>
      </c>
    </row>
    <row r="30" spans="1:9" x14ac:dyDescent="0.25">
      <c r="A30">
        <f t="shared" si="0"/>
        <v>8</v>
      </c>
      <c r="B30">
        <f t="shared" si="0"/>
        <v>15.54333503506134</v>
      </c>
      <c r="C30">
        <f t="shared" si="1"/>
        <v>5.4348238587735409E-2</v>
      </c>
      <c r="D30">
        <f t="shared" si="2"/>
        <v>8.5</v>
      </c>
      <c r="E30">
        <f t="shared" si="3"/>
        <v>15.570509154355207</v>
      </c>
      <c r="F30">
        <f t="shared" si="4"/>
        <v>15.514584853895897</v>
      </c>
      <c r="G30">
        <f t="shared" si="5"/>
        <v>5.5924300459309961E-2</v>
      </c>
      <c r="H30">
        <f t="shared" si="6"/>
        <v>3.6046275801744515E-3</v>
      </c>
      <c r="I30">
        <f t="shared" si="7"/>
        <v>0.36046275801744515</v>
      </c>
    </row>
    <row r="31" spans="1:9" x14ac:dyDescent="0.25">
      <c r="A31">
        <f t="shared" si="0"/>
        <v>8.5</v>
      </c>
      <c r="B31">
        <f t="shared" si="0"/>
        <v>15.570509154355207</v>
      </c>
      <c r="C31">
        <f t="shared" si="1"/>
        <v>3.6284935477027602E-2</v>
      </c>
      <c r="D31">
        <f t="shared" si="2"/>
        <v>9</v>
      </c>
      <c r="E31">
        <f t="shared" si="3"/>
        <v>15.588651622093721</v>
      </c>
      <c r="F31">
        <f t="shared" si="4"/>
        <v>15.545831085170796</v>
      </c>
      <c r="G31">
        <f t="shared" si="5"/>
        <v>4.2820536922924646E-2</v>
      </c>
      <c r="H31">
        <f t="shared" si="6"/>
        <v>2.7544707444924739E-3</v>
      </c>
      <c r="I31">
        <f t="shared" si="7"/>
        <v>0.27544707444924738</v>
      </c>
    </row>
    <row r="32" spans="1:9" x14ac:dyDescent="0.25">
      <c r="A32">
        <f t="shared" si="0"/>
        <v>9</v>
      </c>
      <c r="B32">
        <f t="shared" si="0"/>
        <v>15.588651622093721</v>
      </c>
      <c r="C32">
        <f t="shared" si="1"/>
        <v>2.4213442018389486E-2</v>
      </c>
      <c r="D32">
        <f t="shared" si="2"/>
        <v>9.5</v>
      </c>
      <c r="E32">
        <f t="shared" si="3"/>
        <v>15.600758343102916</v>
      </c>
      <c r="F32">
        <f t="shared" si="4"/>
        <v>15.568245769341994</v>
      </c>
      <c r="G32">
        <f t="shared" si="5"/>
        <v>3.2512573760921981E-2</v>
      </c>
      <c r="H32">
        <f t="shared" si="6"/>
        <v>2.0883903197974857E-3</v>
      </c>
      <c r="I32">
        <f t="shared" si="7"/>
        <v>0.20883903197974857</v>
      </c>
    </row>
    <row r="33" spans="1:9" x14ac:dyDescent="0.25">
      <c r="A33" s="7">
        <f t="shared" ref="A33:B33" si="8">D32</f>
        <v>9.5</v>
      </c>
      <c r="B33" s="7">
        <f t="shared" si="8"/>
        <v>15.600758343102916</v>
      </c>
      <c r="C33" s="7">
        <f t="shared" si="1"/>
        <v>1.6152741028136575E-2</v>
      </c>
      <c r="D33" s="7">
        <f t="shared" si="2"/>
        <v>10</v>
      </c>
      <c r="E33" s="7">
        <f t="shared" si="3"/>
        <v>15.608834713616984</v>
      </c>
      <c r="F33" s="7">
        <f t="shared" si="4"/>
        <v>15.584319835435055</v>
      </c>
      <c r="G33" s="7">
        <f t="shared" si="5"/>
        <v>2.4514878181928879E-2</v>
      </c>
      <c r="H33" s="7">
        <f t="shared" si="6"/>
        <v>1.5730476813102775E-3</v>
      </c>
      <c r="I33" s="7">
        <f t="shared" si="7"/>
        <v>0.15730476813102776</v>
      </c>
    </row>
    <row r="35" spans="1:9" x14ac:dyDescent="0.25">
      <c r="G35" s="5" t="s">
        <v>24</v>
      </c>
      <c r="H35" s="6">
        <f>E33</f>
        <v>15.608834713616984</v>
      </c>
    </row>
    <row r="37" spans="1:9" x14ac:dyDescent="0.25">
      <c r="G37" s="5" t="s">
        <v>20</v>
      </c>
      <c r="H37">
        <f>(5/2)^3</f>
        <v>15.625</v>
      </c>
    </row>
  </sheetData>
  <mergeCells count="1">
    <mergeCell ref="A1:I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Heun_Pez</vt:lpstr>
      <vt:lpstr>Euler_Pez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Jalid Tapia Cortez</dc:creator>
  <cp:lastModifiedBy>Genesis Jalid Tapia Cortez</cp:lastModifiedBy>
  <dcterms:created xsi:type="dcterms:W3CDTF">2025-12-03T05:25:29Z</dcterms:created>
  <dcterms:modified xsi:type="dcterms:W3CDTF">2025-12-03T05:27:16Z</dcterms:modified>
</cp:coreProperties>
</file>