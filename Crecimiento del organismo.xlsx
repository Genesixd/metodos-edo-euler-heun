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\Desktop\U\METODOS NUMERICOS\DESAFIO PEZ - CRECIMIENTO DE UN ORGANISMO\"/>
    </mc:Choice>
  </mc:AlternateContent>
  <xr:revisionPtr revIDLastSave="0" documentId="13_ncr:1_{CBE75B22-8FB0-4555-BA02-D49BC79A685D}" xr6:coauthVersionLast="47" xr6:coauthVersionMax="47" xr10:uidLastSave="{00000000-0000-0000-0000-000000000000}"/>
  <bookViews>
    <workbookView xWindow="-120" yWindow="-120" windowWidth="29040" windowHeight="15990" xr2:uid="{91F6F969-8D47-422C-B8D8-72EACAEE22D7}"/>
  </bookViews>
  <sheets>
    <sheet name="Heun_Organismo" sheetId="2" r:id="rId1"/>
    <sheet name="Euler_Organismo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A14" i="3"/>
  <c r="D14" i="3" s="1"/>
  <c r="A15" i="2"/>
  <c r="D15" i="2" s="1"/>
  <c r="D14" i="2"/>
  <c r="H14" i="2" s="1"/>
  <c r="B14" i="2"/>
  <c r="A14" i="2"/>
  <c r="A15" i="3" l="1"/>
  <c r="D15" i="3" s="1"/>
  <c r="F14" i="3"/>
  <c r="C14" i="3"/>
  <c r="E14" i="3" s="1"/>
  <c r="B15" i="3" s="1"/>
  <c r="A16" i="2"/>
  <c r="D16" i="2" s="1"/>
  <c r="H15" i="2"/>
  <c r="C14" i="2"/>
  <c r="E14" i="2" s="1"/>
  <c r="F14" i="2" s="1"/>
  <c r="C15" i="3" l="1"/>
  <c r="E15" i="3" s="1"/>
  <c r="B16" i="3" s="1"/>
  <c r="F15" i="3"/>
  <c r="A16" i="3"/>
  <c r="D16" i="3" s="1"/>
  <c r="G14" i="3"/>
  <c r="H14" i="3" s="1"/>
  <c r="I14" i="3" s="1"/>
  <c r="G14" i="2"/>
  <c r="A17" i="2"/>
  <c r="D17" i="2" s="1"/>
  <c r="H16" i="2"/>
  <c r="C16" i="3" l="1"/>
  <c r="E16" i="3" s="1"/>
  <c r="B17" i="3" s="1"/>
  <c r="A17" i="3"/>
  <c r="D17" i="3" s="1"/>
  <c r="F16" i="3"/>
  <c r="G15" i="3"/>
  <c r="H15" i="3" s="1"/>
  <c r="I15" i="3" s="1"/>
  <c r="B15" i="2"/>
  <c r="I14" i="2"/>
  <c r="J14" i="2" s="1"/>
  <c r="K14" i="2" s="1"/>
  <c r="H17" i="2"/>
  <c r="A18" i="2"/>
  <c r="D18" i="2" s="1"/>
  <c r="C17" i="3" l="1"/>
  <c r="E17" i="3" s="1"/>
  <c r="B18" i="3" s="1"/>
  <c r="G16" i="3"/>
  <c r="H16" i="3" s="1"/>
  <c r="I16" i="3" s="1"/>
  <c r="F17" i="3"/>
  <c r="A18" i="3"/>
  <c r="D18" i="3" s="1"/>
  <c r="C15" i="2"/>
  <c r="E15" i="2"/>
  <c r="F15" i="2" s="1"/>
  <c r="G15" i="2" s="1"/>
  <c r="H18" i="2"/>
  <c r="A19" i="2"/>
  <c r="D19" i="2" s="1"/>
  <c r="C18" i="3" l="1"/>
  <c r="E18" i="3" s="1"/>
  <c r="B19" i="3" s="1"/>
  <c r="G17" i="3"/>
  <c r="H17" i="3" s="1"/>
  <c r="I17" i="3" s="1"/>
  <c r="F18" i="3"/>
  <c r="A19" i="3"/>
  <c r="D19" i="3" s="1"/>
  <c r="B16" i="2"/>
  <c r="I15" i="2"/>
  <c r="J15" i="2" s="1"/>
  <c r="K15" i="2" s="1"/>
  <c r="H19" i="2"/>
  <c r="A20" i="2"/>
  <c r="D20" i="2" s="1"/>
  <c r="C19" i="3" l="1"/>
  <c r="E19" i="3" s="1"/>
  <c r="B20" i="3" s="1"/>
  <c r="F19" i="3"/>
  <c r="A20" i="3"/>
  <c r="D20" i="3" s="1"/>
  <c r="G18" i="3"/>
  <c r="H18" i="3" s="1"/>
  <c r="I18" i="3" s="1"/>
  <c r="H20" i="2"/>
  <c r="A21" i="2"/>
  <c r="D21" i="2" s="1"/>
  <c r="C16" i="2"/>
  <c r="C20" i="3" l="1"/>
  <c r="E20" i="3" s="1"/>
  <c r="B21" i="3" s="1"/>
  <c r="F20" i="3"/>
  <c r="A21" i="3"/>
  <c r="D21" i="3" s="1"/>
  <c r="G19" i="3"/>
  <c r="H19" i="3" s="1"/>
  <c r="I19" i="3" s="1"/>
  <c r="H21" i="2"/>
  <c r="A22" i="2"/>
  <c r="D22" i="2" s="1"/>
  <c r="E16" i="2"/>
  <c r="F16" i="2" s="1"/>
  <c r="G16" i="2" s="1"/>
  <c r="C21" i="3" l="1"/>
  <c r="E21" i="3"/>
  <c r="B22" i="3" s="1"/>
  <c r="F21" i="3"/>
  <c r="A22" i="3"/>
  <c r="D22" i="3" s="1"/>
  <c r="G20" i="3"/>
  <c r="H20" i="3" s="1"/>
  <c r="I20" i="3" s="1"/>
  <c r="B17" i="2"/>
  <c r="I16" i="2"/>
  <c r="J16" i="2" s="1"/>
  <c r="K16" i="2" s="1"/>
  <c r="A23" i="2"/>
  <c r="D23" i="2" s="1"/>
  <c r="H22" i="2"/>
  <c r="A23" i="3" l="1"/>
  <c r="D23" i="3" s="1"/>
  <c r="F22" i="3"/>
  <c r="C22" i="3"/>
  <c r="E22" i="3" s="1"/>
  <c r="B23" i="3" s="1"/>
  <c r="G21" i="3"/>
  <c r="H21" i="3" s="1"/>
  <c r="I21" i="3" s="1"/>
  <c r="A24" i="2"/>
  <c r="D24" i="2" s="1"/>
  <c r="H23" i="2"/>
  <c r="C17" i="2"/>
  <c r="E17" i="2"/>
  <c r="F17" i="2" s="1"/>
  <c r="G17" i="2" s="1"/>
  <c r="C23" i="3" l="1"/>
  <c r="E23" i="3" s="1"/>
  <c r="B24" i="3" s="1"/>
  <c r="F23" i="3"/>
  <c r="A24" i="3"/>
  <c r="D24" i="3" s="1"/>
  <c r="G22" i="3"/>
  <c r="H22" i="3" s="1"/>
  <c r="I22" i="3" s="1"/>
  <c r="B18" i="2"/>
  <c r="I17" i="2"/>
  <c r="J17" i="2" s="1"/>
  <c r="K17" i="2" s="1"/>
  <c r="A25" i="2"/>
  <c r="D25" i="2" s="1"/>
  <c r="H24" i="2"/>
  <c r="C24" i="3" l="1"/>
  <c r="E24" i="3" s="1"/>
  <c r="B25" i="3" s="1"/>
  <c r="A25" i="3"/>
  <c r="D25" i="3" s="1"/>
  <c r="F24" i="3"/>
  <c r="G23" i="3"/>
  <c r="H23" i="3" s="1"/>
  <c r="I23" i="3" s="1"/>
  <c r="H25" i="2"/>
  <c r="A26" i="2"/>
  <c r="D26" i="2" s="1"/>
  <c r="C18" i="2"/>
  <c r="E25" i="3" l="1"/>
  <c r="B26" i="3" s="1"/>
  <c r="C25" i="3"/>
  <c r="G24" i="3"/>
  <c r="H24" i="3" s="1"/>
  <c r="I24" i="3" s="1"/>
  <c r="A26" i="3"/>
  <c r="D26" i="3" s="1"/>
  <c r="F25" i="3"/>
  <c r="E18" i="2"/>
  <c r="F18" i="2" s="1"/>
  <c r="G18" i="2" s="1"/>
  <c r="A27" i="2"/>
  <c r="D27" i="2" s="1"/>
  <c r="H26" i="2"/>
  <c r="E26" i="3" l="1"/>
  <c r="B27" i="3" s="1"/>
  <c r="C26" i="3"/>
  <c r="A27" i="3"/>
  <c r="D27" i="3" s="1"/>
  <c r="F26" i="3"/>
  <c r="G26" i="3" s="1"/>
  <c r="H26" i="3" s="1"/>
  <c r="I26" i="3" s="1"/>
  <c r="G25" i="3"/>
  <c r="H25" i="3" s="1"/>
  <c r="I25" i="3" s="1"/>
  <c r="B19" i="2"/>
  <c r="I18" i="2"/>
  <c r="J18" i="2" s="1"/>
  <c r="K18" i="2" s="1"/>
  <c r="A28" i="2"/>
  <c r="D28" i="2" s="1"/>
  <c r="H27" i="2"/>
  <c r="C27" i="3" l="1"/>
  <c r="E27" i="3"/>
  <c r="B28" i="3" s="1"/>
  <c r="A28" i="3"/>
  <c r="D28" i="3" s="1"/>
  <c r="F27" i="3"/>
  <c r="G27" i="3" s="1"/>
  <c r="H27" i="3" s="1"/>
  <c r="I27" i="3" s="1"/>
  <c r="A29" i="2"/>
  <c r="D29" i="2" s="1"/>
  <c r="H28" i="2"/>
  <c r="C19" i="2"/>
  <c r="E19" i="2" s="1"/>
  <c r="F19" i="2" s="1"/>
  <c r="C28" i="3" l="1"/>
  <c r="E28" i="3" s="1"/>
  <c r="B29" i="3" s="1"/>
  <c r="F28" i="3"/>
  <c r="A29" i="3"/>
  <c r="D29" i="3" s="1"/>
  <c r="G19" i="2"/>
  <c r="H29" i="2"/>
  <c r="A30" i="2"/>
  <c r="D30" i="2" s="1"/>
  <c r="C29" i="3" l="1"/>
  <c r="E29" i="3"/>
  <c r="B30" i="3" s="1"/>
  <c r="A30" i="3"/>
  <c r="D30" i="3" s="1"/>
  <c r="F29" i="3"/>
  <c r="G29" i="3" s="1"/>
  <c r="H29" i="3" s="1"/>
  <c r="I29" i="3" s="1"/>
  <c r="G28" i="3"/>
  <c r="H28" i="3" s="1"/>
  <c r="I28" i="3" s="1"/>
  <c r="A31" i="2"/>
  <c r="D31" i="2" s="1"/>
  <c r="H30" i="2"/>
  <c r="B20" i="2"/>
  <c r="I19" i="2"/>
  <c r="J19" i="2" s="1"/>
  <c r="K19" i="2" s="1"/>
  <c r="C30" i="3" l="1"/>
  <c r="E30" i="3"/>
  <c r="B31" i="3" s="1"/>
  <c r="A31" i="3"/>
  <c r="D31" i="3" s="1"/>
  <c r="F30" i="3"/>
  <c r="G30" i="3" s="1"/>
  <c r="H30" i="3" s="1"/>
  <c r="I30" i="3" s="1"/>
  <c r="C20" i="2"/>
  <c r="H31" i="2"/>
  <c r="A32" i="2"/>
  <c r="D32" i="2" s="1"/>
  <c r="C31" i="3" l="1"/>
  <c r="E31" i="3"/>
  <c r="B32" i="3" s="1"/>
  <c r="A32" i="3"/>
  <c r="D32" i="3" s="1"/>
  <c r="F31" i="3"/>
  <c r="G31" i="3" s="1"/>
  <c r="H31" i="3" s="1"/>
  <c r="I31" i="3" s="1"/>
  <c r="A33" i="2"/>
  <c r="D33" i="2" s="1"/>
  <c r="H33" i="2" s="1"/>
  <c r="H32" i="2"/>
  <c r="E20" i="2"/>
  <c r="F20" i="2" s="1"/>
  <c r="G20" i="2" s="1"/>
  <c r="C32" i="3" l="1"/>
  <c r="E32" i="3" s="1"/>
  <c r="B33" i="3" s="1"/>
  <c r="F32" i="3"/>
  <c r="A33" i="3"/>
  <c r="D33" i="3" s="1"/>
  <c r="F33" i="3" s="1"/>
  <c r="B21" i="2"/>
  <c r="I20" i="2"/>
  <c r="J20" i="2" s="1"/>
  <c r="K20" i="2" s="1"/>
  <c r="C33" i="3" l="1"/>
  <c r="E33" i="3"/>
  <c r="G32" i="3"/>
  <c r="H32" i="3" s="1"/>
  <c r="I32" i="3" s="1"/>
  <c r="G33" i="3"/>
  <c r="H33" i="3" s="1"/>
  <c r="I33" i="3" s="1"/>
  <c r="C21" i="2"/>
  <c r="E21" i="2" s="1"/>
  <c r="F21" i="2" s="1"/>
  <c r="G21" i="2" l="1"/>
  <c r="B22" i="2" l="1"/>
  <c r="I21" i="2"/>
  <c r="J21" i="2" s="1"/>
  <c r="K21" i="2" s="1"/>
  <c r="C22" i="2" l="1"/>
  <c r="E22" i="2" l="1"/>
  <c r="F22" i="2" s="1"/>
  <c r="G22" i="2" s="1"/>
  <c r="B23" i="2" l="1"/>
  <c r="I22" i="2"/>
  <c r="J22" i="2" s="1"/>
  <c r="K22" i="2" s="1"/>
  <c r="C23" i="2" l="1"/>
  <c r="E23" i="2" l="1"/>
  <c r="F23" i="2" s="1"/>
  <c r="G23" i="2" s="1"/>
  <c r="B24" i="2" l="1"/>
  <c r="I23" i="2"/>
  <c r="J23" i="2" s="1"/>
  <c r="K23" i="2" s="1"/>
  <c r="C24" i="2" l="1"/>
  <c r="E24" i="2" s="1"/>
  <c r="F24" i="2" s="1"/>
  <c r="G24" i="2" l="1"/>
  <c r="B25" i="2" l="1"/>
  <c r="I24" i="2"/>
  <c r="J24" i="2" s="1"/>
  <c r="K24" i="2" s="1"/>
  <c r="C25" i="2" l="1"/>
  <c r="E25" i="2" l="1"/>
  <c r="F25" i="2" s="1"/>
  <c r="G25" i="2" s="1"/>
  <c r="B26" i="2" l="1"/>
  <c r="I25" i="2"/>
  <c r="J25" i="2" s="1"/>
  <c r="K25" i="2" s="1"/>
  <c r="C26" i="2" l="1"/>
  <c r="E26" i="2" s="1"/>
  <c r="F26" i="2" s="1"/>
  <c r="G26" i="2" s="1"/>
  <c r="B27" i="2" l="1"/>
  <c r="I26" i="2"/>
  <c r="J26" i="2" s="1"/>
  <c r="K26" i="2" s="1"/>
  <c r="C27" i="2" l="1"/>
  <c r="E27" i="2" s="1"/>
  <c r="F27" i="2" s="1"/>
  <c r="G27" i="2" s="1"/>
  <c r="B28" i="2" l="1"/>
  <c r="I27" i="2"/>
  <c r="J27" i="2" s="1"/>
  <c r="K27" i="2" s="1"/>
  <c r="C28" i="2" l="1"/>
  <c r="E28" i="2" l="1"/>
  <c r="F28" i="2" s="1"/>
  <c r="G28" i="2" s="1"/>
  <c r="B29" i="2" l="1"/>
  <c r="I28" i="2"/>
  <c r="J28" i="2" s="1"/>
  <c r="K28" i="2" s="1"/>
  <c r="C29" i="2" l="1"/>
  <c r="E29" i="2" s="1"/>
  <c r="F29" i="2" s="1"/>
  <c r="G29" i="2" s="1"/>
  <c r="B30" i="2" l="1"/>
  <c r="I29" i="2"/>
  <c r="J29" i="2" s="1"/>
  <c r="K29" i="2" s="1"/>
  <c r="C30" i="2" l="1"/>
  <c r="E30" i="2"/>
  <c r="F30" i="2" s="1"/>
  <c r="G30" i="2" s="1"/>
  <c r="B31" i="2" l="1"/>
  <c r="I30" i="2"/>
  <c r="J30" i="2" s="1"/>
  <c r="K30" i="2" s="1"/>
  <c r="C31" i="2" l="1"/>
  <c r="E31" i="2" s="1"/>
  <c r="F31" i="2" s="1"/>
  <c r="G31" i="2" l="1"/>
  <c r="B32" i="2" l="1"/>
  <c r="I31" i="2"/>
  <c r="J31" i="2" s="1"/>
  <c r="K31" i="2" s="1"/>
  <c r="C32" i="2" l="1"/>
  <c r="E32" i="2" l="1"/>
  <c r="F32" i="2" s="1"/>
  <c r="G32" i="2" s="1"/>
  <c r="B33" i="2" l="1"/>
  <c r="I32" i="2"/>
  <c r="J32" i="2" s="1"/>
  <c r="K32" i="2" s="1"/>
  <c r="C33" i="2" l="1"/>
  <c r="E33" i="2" l="1"/>
  <c r="F33" i="2" s="1"/>
  <c r="G33" i="2" s="1"/>
  <c r="H36" i="2" l="1"/>
  <c r="I33" i="2"/>
  <c r="J33" i="2" s="1"/>
  <c r="K33" i="2" s="1"/>
</calcChain>
</file>

<file path=xl/sharedStrings.xml><?xml version="1.0" encoding="utf-8"?>
<sst xmlns="http://schemas.openxmlformats.org/spreadsheetml/2006/main" count="37" uniqueCount="25">
  <si>
    <t>MÉTODO DE HEUN - CRECIMIENTO DE ORGANISMO</t>
  </si>
  <si>
    <t>Ecuación: dm/dt = k·m^(3/4)·[1 - (m/m_max)^(1/4)]</t>
  </si>
  <si>
    <t>k = 0.3 kg^(1/4)/día,   m_max = 300 kg,   m(0) = 1 kg</t>
  </si>
  <si>
    <t>Intervalo: 0 ≤ t ≤ 400 días,   paso h = 20 días.</t>
  </si>
  <si>
    <t>t_0 =</t>
  </si>
  <si>
    <t>t_f =</t>
  </si>
  <si>
    <t>m_0 =</t>
  </si>
  <si>
    <t>h =</t>
  </si>
  <si>
    <t>t_i (días)</t>
  </si>
  <si>
    <t>m_i (kg)</t>
  </si>
  <si>
    <t>f(t_i,m_i)</t>
  </si>
  <si>
    <t>t_i + h</t>
  </si>
  <si>
    <t>m* = m_i + h·f(t_i,m_i)</t>
  </si>
  <si>
    <t>f(t_i+h, m*)</t>
  </si>
  <si>
    <t>m_{i+1} (Heun)</t>
  </si>
  <si>
    <t>m_exact(t_i+h) (kg)</t>
  </si>
  <si>
    <t>Error absoluto</t>
  </si>
  <si>
    <t>Error relativo</t>
  </si>
  <si>
    <t>Error porcentual</t>
  </si>
  <si>
    <t>m(400) aprox.:</t>
  </si>
  <si>
    <t>MÉTODO DE EULER - CRECIMIENTO DE ORGANISMO</t>
  </si>
  <si>
    <t>Intervalo: 0 ≤ t ≤ 400 días,   paso h = 20 días</t>
  </si>
  <si>
    <t>f(t_i, m_i) = dm/dt</t>
  </si>
  <si>
    <t>m_{i+1} (kg)</t>
  </si>
  <si>
    <t>Error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</si>
</sst>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BDD7EE"/>
      </patternFill>
    </fill>
    <fill>
      <patternFill patternType="solid">
        <fgColor rgb="FFF4B084"/>
      </patternFill>
    </fill>
    <fill>
      <patternFill patternType="solid">
        <fgColor rgb="FFC6E0B4"/>
      </patternFill>
    </fill>
    <fill>
      <patternFill patternType="solid">
        <fgColor rgb="FFF3F1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0" fillId="3" borderId="0" xfId="0" applyFill="1"/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/>
    <xf numFmtId="0" fontId="2" fillId="6" borderId="0" xfId="0" applyFont="1" applyFill="1" applyAlignment="1">
      <alignment horizontal="center"/>
    </xf>
    <xf numFmtId="0" fontId="3" fillId="6" borderId="0" xfId="0" applyFont="1" applyFill="1"/>
    <xf numFmtId="0" fontId="0" fillId="0" borderId="0" xfId="0" applyAlignment="1">
      <alignment horizontal="center"/>
    </xf>
    <xf numFmtId="0" fontId="0" fillId="7" borderId="0" xfId="0" applyFill="1"/>
    <xf numFmtId="0" fontId="4" fillId="8" borderId="1" xfId="0" applyFont="1" applyFill="1" applyBorder="1"/>
    <xf numFmtId="0" fontId="1" fillId="8" borderId="1" xfId="0" applyFont="1" applyFill="1" applyBorder="1" applyAlignment="1">
      <alignment horizontal="right"/>
    </xf>
    <xf numFmtId="0" fontId="0" fillId="0" borderId="1" xfId="0" applyBorder="1"/>
    <xf numFmtId="0" fontId="0" fillId="8" borderId="1" xfId="0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Crecimiento del organismo: método de Heun vs exacta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Heun_Organismo!$G$13</c:f>
              <c:strCache>
                <c:ptCount val="1"/>
                <c:pt idx="0">
                  <c:v>m_{i+1} (Heun)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Heun_Organismo!$D$14:$D$33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</c:numCache>
            </c:numRef>
          </c:xVal>
          <c:yVal>
            <c:numRef>
              <c:f>Heun_Organismo!$G$14:$G$33</c:f>
              <c:numCache>
                <c:formatCode>General</c:formatCode>
                <c:ptCount val="20"/>
                <c:pt idx="0">
                  <c:v>10.132450275268699</c:v>
                </c:pt>
                <c:pt idx="1">
                  <c:v>36.599685065678457</c:v>
                </c:pt>
                <c:pt idx="2">
                  <c:v>77.164320408612213</c:v>
                </c:pt>
                <c:pt idx="3">
                  <c:v>121.82453832704002</c:v>
                </c:pt>
                <c:pt idx="4">
                  <c:v>163.07637089947025</c:v>
                </c:pt>
                <c:pt idx="5">
                  <c:v>197.58844524237935</c:v>
                </c:pt>
                <c:pt idx="6">
                  <c:v>224.80091474196951</c:v>
                </c:pt>
                <c:pt idx="7">
                  <c:v>245.47507145425195</c:v>
                </c:pt>
                <c:pt idx="8">
                  <c:v>260.80765995861259</c:v>
                </c:pt>
                <c:pt idx="9">
                  <c:v>271.99791156932747</c:v>
                </c:pt>
                <c:pt idx="10">
                  <c:v>280.07684337038171</c:v>
                </c:pt>
                <c:pt idx="11">
                  <c:v>285.86637065894377</c:v>
                </c:pt>
                <c:pt idx="12">
                  <c:v>289.99404560347352</c:v>
                </c:pt>
                <c:pt idx="13">
                  <c:v>292.92643140170611</c:v>
                </c:pt>
                <c:pt idx="14">
                  <c:v>295.00449002899592</c:v>
                </c:pt>
                <c:pt idx="15">
                  <c:v>296.4745656114751</c:v>
                </c:pt>
                <c:pt idx="16">
                  <c:v>297.51327094512931</c:v>
                </c:pt>
                <c:pt idx="17">
                  <c:v>298.24655719015891</c:v>
                </c:pt>
                <c:pt idx="18">
                  <c:v>298.76391809705342</c:v>
                </c:pt>
                <c:pt idx="19">
                  <c:v>299.12878127811155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C3-4B84-A898-A45FA6723360}"/>
            </c:ext>
          </c:extLst>
        </c:ser>
        <c:ser>
          <c:idx val="3"/>
          <c:order val="1"/>
          <c:tx>
            <c:strRef>
              <c:f>Heun_Organismo!$H$13</c:f>
              <c:strCache>
                <c:ptCount val="1"/>
                <c:pt idx="0">
                  <c:v>m_exact(t_i+h) (kg)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Heun_Organismo!$D$14:$D$33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</c:numCache>
            </c:numRef>
          </c:xVal>
          <c:yVal>
            <c:numRef>
              <c:f>Heun_Organismo!$H$14:$H$33</c:f>
              <c:numCache>
                <c:formatCode>General</c:formatCode>
                <c:ptCount val="20"/>
                <c:pt idx="0">
                  <c:v>14.66218192543435</c:v>
                </c:pt>
                <c:pt idx="1">
                  <c:v>47.414171381012579</c:v>
                </c:pt>
                <c:pt idx="2">
                  <c:v>91.097640206791141</c:v>
                </c:pt>
                <c:pt idx="3">
                  <c:v>135.83836700992967</c:v>
                </c:pt>
                <c:pt idx="4">
                  <c:v>175.60046114433572</c:v>
                </c:pt>
                <c:pt idx="5">
                  <c:v>208.09226689289264</c:v>
                </c:pt>
                <c:pt idx="6">
                  <c:v>233.2827329567624</c:v>
                </c:pt>
                <c:pt idx="7">
                  <c:v>252.15694606615767</c:v>
                </c:pt>
                <c:pt idx="8">
                  <c:v>265.98141977142052</c:v>
                </c:pt>
                <c:pt idx="9">
                  <c:v>275.953388230754</c:v>
                </c:pt>
                <c:pt idx="10">
                  <c:v>283.07177753248936</c:v>
                </c:pt>
                <c:pt idx="11">
                  <c:v>288.11690033091929</c:v>
                </c:pt>
                <c:pt idx="12">
                  <c:v>291.67498123996745</c:v>
                </c:pt>
                <c:pt idx="13">
                  <c:v>294.1757563830904</c:v>
                </c:pt>
                <c:pt idx="14">
                  <c:v>295.92924564874346</c:v>
                </c:pt>
                <c:pt idx="15">
                  <c:v>297.15672911573921</c:v>
                </c:pt>
                <c:pt idx="16">
                  <c:v>298.01501147462045</c:v>
                </c:pt>
                <c:pt idx="17">
                  <c:v>298.6146617495499</c:v>
                </c:pt>
                <c:pt idx="18">
                  <c:v>299.03338243464492</c:v>
                </c:pt>
                <c:pt idx="19">
                  <c:v>299.32565129174293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C3-4B84-A898-A45FA6723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984495"/>
        <c:axId val="69185135"/>
      </c:scatterChart>
      <c:valAx>
        <c:axId val="147798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Tiempo (días)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9185135"/>
        <c:crosses val="autoZero"/>
        <c:crossBetween val="midCat"/>
      </c:valAx>
      <c:valAx>
        <c:axId val="691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Masa (kg)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77984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Crecimiento del organismo:Euler vs exacta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Euler_Organismo!$E$13</c:f>
              <c:strCache>
                <c:ptCount val="1"/>
                <c:pt idx="0">
                  <c:v>m_{i+1} (kg)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Euler_Organismo!$D$14:$D$33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</c:numCache>
            </c:numRef>
          </c:xVal>
          <c:yVal>
            <c:numRef>
              <c:f>Euler_Organismo!$E$14:$E$33</c:f>
              <c:numCache>
                <c:formatCode>General</c:formatCode>
                <c:ptCount val="20"/>
                <c:pt idx="0">
                  <c:v>5.5583131515191475</c:v>
                </c:pt>
                <c:pt idx="1">
                  <c:v>19.264900550537401</c:v>
                </c:pt>
                <c:pt idx="2">
                  <c:v>46.663912469412324</c:v>
                </c:pt>
                <c:pt idx="3">
                  <c:v>86.513245246540805</c:v>
                </c:pt>
                <c:pt idx="4">
                  <c:v>131.98966668863952</c:v>
                </c:pt>
                <c:pt idx="5">
                  <c:v>175.34674295854921</c:v>
                </c:pt>
                <c:pt idx="6">
                  <c:v>211.66924823473727</c:v>
                </c:pt>
                <c:pt idx="7">
                  <c:v>239.47040350011628</c:v>
                </c:pt>
                <c:pt idx="8">
                  <c:v>259.47899669775842</c:v>
                </c:pt>
                <c:pt idx="9">
                  <c:v>273.29879974247513</c:v>
                </c:pt>
                <c:pt idx="10">
                  <c:v>282.58874179305553</c:v>
                </c:pt>
                <c:pt idx="11">
                  <c:v>288.7241442823842</c:v>
                </c:pt>
                <c:pt idx="12">
                  <c:v>292.73000873297093</c:v>
                </c:pt>
                <c:pt idx="13">
                  <c:v>295.32621606314302</c:v>
                </c:pt>
                <c:pt idx="14">
                  <c:v>297.00084339152579</c:v>
                </c:pt>
                <c:pt idx="15">
                  <c:v>298.07773511044121</c:v>
                </c:pt>
                <c:pt idx="16">
                  <c:v>298.7688919085702</c:v>
                </c:pt>
                <c:pt idx="17">
                  <c:v>299.21192599327429</c:v>
                </c:pt>
                <c:pt idx="18">
                  <c:v>299.49568486466904</c:v>
                </c:pt>
                <c:pt idx="19">
                  <c:v>299.67733632459846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8E-45BB-8579-D2E9D08579FD}"/>
            </c:ext>
          </c:extLst>
        </c:ser>
        <c:ser>
          <c:idx val="1"/>
          <c:order val="1"/>
          <c:tx>
            <c:strRef>
              <c:f>Euler_Organismo!$F$13</c:f>
              <c:strCache>
                <c:ptCount val="1"/>
                <c:pt idx="0">
                  <c:v>m_exact(t_i+h) (kg)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Euler_Organismo!$D$14:$D$33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</c:numCache>
            </c:numRef>
          </c:xVal>
          <c:yVal>
            <c:numRef>
              <c:f>Euler_Organismo!$F$14:$F$33</c:f>
              <c:numCache>
                <c:formatCode>General</c:formatCode>
                <c:ptCount val="20"/>
                <c:pt idx="0">
                  <c:v>14.66218192543435</c:v>
                </c:pt>
                <c:pt idx="1">
                  <c:v>47.414171381012579</c:v>
                </c:pt>
                <c:pt idx="2">
                  <c:v>91.097640206791141</c:v>
                </c:pt>
                <c:pt idx="3">
                  <c:v>135.83836700992967</c:v>
                </c:pt>
                <c:pt idx="4">
                  <c:v>175.60046114433572</c:v>
                </c:pt>
                <c:pt idx="5">
                  <c:v>208.09226689289264</c:v>
                </c:pt>
                <c:pt idx="6">
                  <c:v>233.2827329567624</c:v>
                </c:pt>
                <c:pt idx="7">
                  <c:v>252.15694606615767</c:v>
                </c:pt>
                <c:pt idx="8">
                  <c:v>265.98141977142052</c:v>
                </c:pt>
                <c:pt idx="9">
                  <c:v>275.953388230754</c:v>
                </c:pt>
                <c:pt idx="10">
                  <c:v>283.07177753248936</c:v>
                </c:pt>
                <c:pt idx="11">
                  <c:v>288.11690033091929</c:v>
                </c:pt>
                <c:pt idx="12">
                  <c:v>291.67498123996745</c:v>
                </c:pt>
                <c:pt idx="13">
                  <c:v>294.1757563830904</c:v>
                </c:pt>
                <c:pt idx="14">
                  <c:v>295.92924564874346</c:v>
                </c:pt>
                <c:pt idx="15">
                  <c:v>297.15672911573921</c:v>
                </c:pt>
                <c:pt idx="16">
                  <c:v>298.01501147462045</c:v>
                </c:pt>
                <c:pt idx="17">
                  <c:v>298.6146617495499</c:v>
                </c:pt>
                <c:pt idx="18">
                  <c:v>299.03338243464492</c:v>
                </c:pt>
                <c:pt idx="19">
                  <c:v>299.32565129174293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8E-45BB-8579-D2E9D0857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97871"/>
        <c:axId val="129879135"/>
      </c:scatterChart>
      <c:valAx>
        <c:axId val="12809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Tiempo (días)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9879135"/>
        <c:crosses val="autoZero"/>
        <c:crossBetween val="midCat"/>
      </c:valAx>
      <c:valAx>
        <c:axId val="12987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Masa (kg)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809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547687</xdr:colOff>
      <xdr:row>5</xdr:row>
      <xdr:rowOff>19051</xdr:rowOff>
    </xdr:from>
    <xdr:to>
      <xdr:col>21</xdr:col>
      <xdr:colOff>583406</xdr:colOff>
      <xdr:row>23</xdr:row>
      <xdr:rowOff>83345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DC3ED3-AA89-45EF-B5EF-B4E5BF783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304798</xdr:colOff>
      <xdr:row>26</xdr:row>
      <xdr:rowOff>1190</xdr:rowOff>
    </xdr:from>
    <xdr:to>
      <xdr:col>22</xdr:col>
      <xdr:colOff>523874</xdr:colOff>
      <xdr:row>33</xdr:row>
      <xdr:rowOff>23812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F97A51A-67AE-4811-B694-DE14F0C56F7D}"/>
            </a:ext>
          </a:extLst>
        </xdr:cNvPr>
        <xdr:cNvSpPr txBox="1"/>
      </xdr:nvSpPr>
      <xdr:spPr>
        <a:xfrm>
          <a:off x="10763248" y="4954190"/>
          <a:ext cx="6924676" cy="1356122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/>
            <a:t>La gráfica muestra que la masa del organismo crece rápidamente al inicio y luego se estabiliza cerca de la masa máxima de 300 kg. La curva obtenida con el método de Heun se mantiene muy próxima a la solución exacta en todo el intervalo de 0 a 400 días, con diferencias casi imperceptibles. Esto indica que el método de Heun proporciona una aproximación numérica muy precisa para este modelo de crecimiento usando un paso de h=20h = 20h=20 días.</a:t>
          </a:r>
        </a:p>
        <a:p>
          <a:endParaRPr lang="es-BO" sz="1100"/>
        </a:p>
        <a:p>
          <a:r>
            <a:rPr lang="es-BO" b="1"/>
            <a:t>El método de Heun es mejor</a:t>
          </a:r>
          <a:r>
            <a:rPr lang="es-BO"/>
            <a:t>, porque da errores más pequeños y la curva se ajusta mucho más a la solución exacta, aunque requiera un poco más de cálculo por paso.</a:t>
          </a:r>
          <a:endParaRPr lang="es-BO" sz="1100"/>
        </a:p>
      </xdr:txBody>
    </xdr:sp>
    <xdr:clientData/>
  </xdr:twoCellAnchor>
  <xdr:oneCellAnchor>
    <xdr:from>
      <xdr:col>9</xdr:col>
      <xdr:colOff>583406</xdr:colOff>
      <xdr:row>21</xdr:row>
      <xdr:rowOff>130969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99A6C0D9-F24F-47E3-ADE5-E85A7B266D5F}"/>
            </a:ext>
          </a:extLst>
        </xdr:cNvPr>
        <xdr:cNvSpPr txBox="1"/>
      </xdr:nvSpPr>
      <xdr:spPr>
        <a:xfrm>
          <a:off x="9003506" y="41314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8</xdr:row>
      <xdr:rowOff>23812</xdr:rowOff>
    </xdr:from>
    <xdr:to>
      <xdr:col>17</xdr:col>
      <xdr:colOff>295275</xdr:colOff>
      <xdr:row>22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DF1C44-66F2-4775-A2CA-9DC844284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371476</xdr:colOff>
      <xdr:row>23</xdr:row>
      <xdr:rowOff>104775</xdr:rowOff>
    </xdr:from>
    <xdr:to>
      <xdr:col>17</xdr:col>
      <xdr:colOff>28576</xdr:colOff>
      <xdr:row>30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5B6B748-289A-4376-80F2-3FBE4C03170B}"/>
            </a:ext>
          </a:extLst>
        </xdr:cNvPr>
        <xdr:cNvSpPr txBox="1"/>
      </xdr:nvSpPr>
      <xdr:spPr>
        <a:xfrm>
          <a:off x="8477251" y="4562475"/>
          <a:ext cx="3924300" cy="13620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/>
            <a:t>La gráfica muestra que la masa del organismo crece rápidamente al inicio y luego se va estabilizando hasta acercarse a la masa máxima de 300 kg. La aproximación obtenida con el método de Euler sigue muy de cerca a la solución exacta en todo el intervalo de 0 a 400 días, con errores porcentuales muy pequeños (menores al 0,2% al final), por lo que el método resulta adecuado para analizar este modelo de crecimiento.</a:t>
          </a:r>
          <a:endParaRPr lang="es-BO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DESAFIO%20PEZ%20-%20CRECIMIENTO%20DE%20UN%20ORGANISMO\1_heun.xlsx" TargetMode="External"/><Relationship Id="rId1" Type="http://schemas.openxmlformats.org/officeDocument/2006/relationships/externalLinkPath" Target="1_heu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DESAFIO%20PEZ%20-%20CRECIMIENTO%20DE%20UN%20ORGANISMO\1_euler.xlsx" TargetMode="External"/><Relationship Id="rId1" Type="http://schemas.openxmlformats.org/officeDocument/2006/relationships/externalLinkPath" Target="1_eu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un_Organismo"/>
    </sheetNames>
    <sheetDataSet>
      <sheetData sheetId="0">
        <row r="13">
          <cell r="G13" t="str">
            <v>m_{i+1} (Heun)</v>
          </cell>
          <cell r="H13" t="str">
            <v>m_exact(t_i+h) (kg)</v>
          </cell>
        </row>
        <row r="14">
          <cell r="D14">
            <v>20</v>
          </cell>
          <cell r="G14">
            <v>10.132450275268699</v>
          </cell>
          <cell r="H14">
            <v>14.66218192543435</v>
          </cell>
        </row>
        <row r="15">
          <cell r="D15">
            <v>40</v>
          </cell>
          <cell r="G15">
            <v>36.599685065678457</v>
          </cell>
          <cell r="H15">
            <v>47.414171381012579</v>
          </cell>
        </row>
        <row r="16">
          <cell r="D16">
            <v>60</v>
          </cell>
          <cell r="G16">
            <v>77.164320408612213</v>
          </cell>
          <cell r="H16">
            <v>91.097640206791141</v>
          </cell>
        </row>
        <row r="17">
          <cell r="D17">
            <v>80</v>
          </cell>
          <cell r="G17">
            <v>121.82453832704002</v>
          </cell>
          <cell r="H17">
            <v>135.83836700992967</v>
          </cell>
        </row>
        <row r="18">
          <cell r="D18">
            <v>100</v>
          </cell>
          <cell r="G18">
            <v>163.07637089947025</v>
          </cell>
          <cell r="H18">
            <v>175.60046114433572</v>
          </cell>
        </row>
        <row r="19">
          <cell r="D19">
            <v>120</v>
          </cell>
          <cell r="G19">
            <v>197.58844524237935</v>
          </cell>
          <cell r="H19">
            <v>208.09226689289264</v>
          </cell>
        </row>
        <row r="20">
          <cell r="D20">
            <v>140</v>
          </cell>
          <cell r="G20">
            <v>224.80091474196951</v>
          </cell>
          <cell r="H20">
            <v>233.2827329567624</v>
          </cell>
        </row>
        <row r="21">
          <cell r="D21">
            <v>160</v>
          </cell>
          <cell r="G21">
            <v>245.47507145425195</v>
          </cell>
          <cell r="H21">
            <v>252.15694606615767</v>
          </cell>
        </row>
        <row r="22">
          <cell r="D22">
            <v>180</v>
          </cell>
          <cell r="G22">
            <v>260.80765995861259</v>
          </cell>
          <cell r="H22">
            <v>265.98141977142052</v>
          </cell>
        </row>
        <row r="23">
          <cell r="D23">
            <v>200</v>
          </cell>
          <cell r="G23">
            <v>271.99791156932747</v>
          </cell>
          <cell r="H23">
            <v>275.953388230754</v>
          </cell>
        </row>
        <row r="24">
          <cell r="D24">
            <v>220</v>
          </cell>
          <cell r="G24">
            <v>280.07684337038171</v>
          </cell>
          <cell r="H24">
            <v>283.07177753248936</v>
          </cell>
        </row>
        <row r="25">
          <cell r="D25">
            <v>240</v>
          </cell>
          <cell r="G25">
            <v>285.86637065894377</v>
          </cell>
          <cell r="H25">
            <v>288.11690033091929</v>
          </cell>
        </row>
        <row r="26">
          <cell r="D26">
            <v>260</v>
          </cell>
          <cell r="G26">
            <v>289.99404560347352</v>
          </cell>
          <cell r="H26">
            <v>291.67498123996745</v>
          </cell>
        </row>
        <row r="27">
          <cell r="D27">
            <v>280</v>
          </cell>
          <cell r="G27">
            <v>292.92643140170611</v>
          </cell>
          <cell r="H27">
            <v>294.1757563830904</v>
          </cell>
        </row>
        <row r="28">
          <cell r="D28">
            <v>300</v>
          </cell>
          <cell r="G28">
            <v>295.00449002899592</v>
          </cell>
          <cell r="H28">
            <v>295.92924564874346</v>
          </cell>
        </row>
        <row r="29">
          <cell r="D29">
            <v>320</v>
          </cell>
          <cell r="G29">
            <v>296.4745656114751</v>
          </cell>
          <cell r="H29">
            <v>297.15672911573921</v>
          </cell>
        </row>
        <row r="30">
          <cell r="D30">
            <v>340</v>
          </cell>
          <cell r="G30">
            <v>297.51327094512931</v>
          </cell>
          <cell r="H30">
            <v>298.01501147462045</v>
          </cell>
        </row>
        <row r="31">
          <cell r="D31">
            <v>360</v>
          </cell>
          <cell r="G31">
            <v>298.24655719015891</v>
          </cell>
          <cell r="H31">
            <v>298.6146617495499</v>
          </cell>
        </row>
        <row r="32">
          <cell r="D32">
            <v>380</v>
          </cell>
          <cell r="G32">
            <v>298.76391809705342</v>
          </cell>
          <cell r="H32">
            <v>299.03338243464492</v>
          </cell>
        </row>
        <row r="33">
          <cell r="D33">
            <v>400</v>
          </cell>
          <cell r="G33">
            <v>299.12878127811155</v>
          </cell>
          <cell r="H33">
            <v>299.32565129174293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ler_Organismo"/>
    </sheetNames>
    <sheetDataSet>
      <sheetData sheetId="0">
        <row r="13">
          <cell r="E13" t="str">
            <v>m_{i+1} (kg)</v>
          </cell>
          <cell r="F13" t="str">
            <v>m_exact(t_i+h) (kg)</v>
          </cell>
        </row>
        <row r="14">
          <cell r="D14">
            <v>20</v>
          </cell>
          <cell r="E14">
            <v>5.5583131515191475</v>
          </cell>
          <cell r="F14">
            <v>14.66218192543435</v>
          </cell>
        </row>
        <row r="15">
          <cell r="D15">
            <v>40</v>
          </cell>
          <cell r="E15">
            <v>19.264900550537401</v>
          </cell>
          <cell r="F15">
            <v>47.414171381012579</v>
          </cell>
        </row>
        <row r="16">
          <cell r="D16">
            <v>60</v>
          </cell>
          <cell r="E16">
            <v>46.663912469412324</v>
          </cell>
          <cell r="F16">
            <v>91.097640206791141</v>
          </cell>
        </row>
        <row r="17">
          <cell r="D17">
            <v>80</v>
          </cell>
          <cell r="E17">
            <v>86.513245246540805</v>
          </cell>
          <cell r="F17">
            <v>135.83836700992967</v>
          </cell>
        </row>
        <row r="18">
          <cell r="D18">
            <v>100</v>
          </cell>
          <cell r="E18">
            <v>131.98966668863952</v>
          </cell>
          <cell r="F18">
            <v>175.60046114433572</v>
          </cell>
        </row>
        <row r="19">
          <cell r="D19">
            <v>120</v>
          </cell>
          <cell r="E19">
            <v>175.34674295854921</v>
          </cell>
          <cell r="F19">
            <v>208.09226689289264</v>
          </cell>
        </row>
        <row r="20">
          <cell r="D20">
            <v>140</v>
          </cell>
          <cell r="E20">
            <v>211.66924823473727</v>
          </cell>
          <cell r="F20">
            <v>233.2827329567624</v>
          </cell>
        </row>
        <row r="21">
          <cell r="D21">
            <v>160</v>
          </cell>
          <cell r="E21">
            <v>239.47040350011628</v>
          </cell>
          <cell r="F21">
            <v>252.15694606615767</v>
          </cell>
        </row>
        <row r="22">
          <cell r="D22">
            <v>180</v>
          </cell>
          <cell r="E22">
            <v>259.47899669775842</v>
          </cell>
          <cell r="F22">
            <v>265.98141977142052</v>
          </cell>
        </row>
        <row r="23">
          <cell r="D23">
            <v>200</v>
          </cell>
          <cell r="E23">
            <v>273.29879974247513</v>
          </cell>
          <cell r="F23">
            <v>275.953388230754</v>
          </cell>
        </row>
        <row r="24">
          <cell r="D24">
            <v>220</v>
          </cell>
          <cell r="E24">
            <v>282.58874179305553</v>
          </cell>
          <cell r="F24">
            <v>283.07177753248936</v>
          </cell>
        </row>
        <row r="25">
          <cell r="D25">
            <v>240</v>
          </cell>
          <cell r="E25">
            <v>288.7241442823842</v>
          </cell>
          <cell r="F25">
            <v>288.11690033091929</v>
          </cell>
        </row>
        <row r="26">
          <cell r="D26">
            <v>260</v>
          </cell>
          <cell r="E26">
            <v>292.73000873297093</v>
          </cell>
          <cell r="F26">
            <v>291.67498123996745</v>
          </cell>
        </row>
        <row r="27">
          <cell r="D27">
            <v>280</v>
          </cell>
          <cell r="E27">
            <v>295.32621606314302</v>
          </cell>
          <cell r="F27">
            <v>294.1757563830904</v>
          </cell>
        </row>
        <row r="28">
          <cell r="D28">
            <v>300</v>
          </cell>
          <cell r="E28">
            <v>297.00084339152579</v>
          </cell>
          <cell r="F28">
            <v>295.92924564874346</v>
          </cell>
        </row>
        <row r="29">
          <cell r="D29">
            <v>320</v>
          </cell>
          <cell r="E29">
            <v>298.07773511044121</v>
          </cell>
          <cell r="F29">
            <v>297.15672911573921</v>
          </cell>
        </row>
        <row r="30">
          <cell r="D30">
            <v>340</v>
          </cell>
          <cell r="E30">
            <v>298.7688919085702</v>
          </cell>
          <cell r="F30">
            <v>298.01501147462045</v>
          </cell>
        </row>
        <row r="31">
          <cell r="D31">
            <v>360</v>
          </cell>
          <cell r="E31">
            <v>299.21192599327429</v>
          </cell>
          <cell r="F31">
            <v>298.6146617495499</v>
          </cell>
        </row>
        <row r="32">
          <cell r="D32">
            <v>380</v>
          </cell>
          <cell r="E32">
            <v>299.49568486466904</v>
          </cell>
          <cell r="F32">
            <v>299.03338243464492</v>
          </cell>
        </row>
        <row r="33">
          <cell r="D33">
            <v>400</v>
          </cell>
          <cell r="E33">
            <v>299.67733632459846</v>
          </cell>
          <cell r="F33">
            <v>299.32565129174293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4892-80D9-4BE7-BEC4-969B921027DD}">
  <dimension ref="A1:K36"/>
  <sheetViews>
    <sheetView tabSelected="1" zoomScale="80" zoomScaleNormal="80" workbookViewId="0">
      <selection activeCell="F43" sqref="F43"/>
    </sheetView>
  </sheetViews>
  <sheetFormatPr baseColWidth="10" defaultColWidth="9.140625" defaultRowHeight="15" x14ac:dyDescent="0.25"/>
  <cols>
    <col min="5" max="5" width="23.85546875" customWidth="1"/>
    <col min="6" max="6" width="13.42578125" customWidth="1"/>
    <col min="7" max="7" width="18.85546875" customWidth="1"/>
    <col min="8" max="8" width="19.85546875" customWidth="1"/>
    <col min="9" max="9" width="13.7109375" customWidth="1"/>
    <col min="10" max="10" width="13.5703125" customWidth="1"/>
    <col min="11" max="11" width="17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x14ac:dyDescent="0.25">
      <c r="A3" t="s">
        <v>1</v>
      </c>
    </row>
    <row r="4" spans="1:11" x14ac:dyDescent="0.25">
      <c r="A4" t="s">
        <v>2</v>
      </c>
    </row>
    <row r="5" spans="1:11" x14ac:dyDescent="0.25">
      <c r="A5" t="s">
        <v>3</v>
      </c>
    </row>
    <row r="7" spans="1:11" x14ac:dyDescent="0.25">
      <c r="A7" s="3" t="s">
        <v>4</v>
      </c>
      <c r="B7" s="3">
        <v>0</v>
      </c>
    </row>
    <row r="8" spans="1:11" x14ac:dyDescent="0.25">
      <c r="A8" s="3" t="s">
        <v>5</v>
      </c>
      <c r="B8" s="3">
        <v>400</v>
      </c>
    </row>
    <row r="9" spans="1:11" x14ac:dyDescent="0.25">
      <c r="A9" s="3" t="s">
        <v>6</v>
      </c>
      <c r="B9" s="3">
        <v>1</v>
      </c>
    </row>
    <row r="10" spans="1:11" x14ac:dyDescent="0.25">
      <c r="A10" s="3" t="s">
        <v>7</v>
      </c>
      <c r="B10" s="3">
        <v>20</v>
      </c>
    </row>
    <row r="13" spans="1:11" x14ac:dyDescent="0.25">
      <c r="A13" s="4" t="s">
        <v>8</v>
      </c>
      <c r="B13" s="4" t="s">
        <v>9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14</v>
      </c>
      <c r="H13" s="4" t="s">
        <v>15</v>
      </c>
      <c r="I13" s="4" t="s">
        <v>16</v>
      </c>
      <c r="J13" s="4" t="s">
        <v>17</v>
      </c>
      <c r="K13" s="4" t="s">
        <v>18</v>
      </c>
    </row>
    <row r="14" spans="1:11" x14ac:dyDescent="0.25">
      <c r="A14">
        <f>$B$7</f>
        <v>0</v>
      </c>
      <c r="B14">
        <f>$B$9</f>
        <v>1</v>
      </c>
      <c r="C14">
        <f>0.3*B14^(3/4)*(1-(B14/300)^(1/4))</f>
        <v>0.22791565757595736</v>
      </c>
      <c r="D14">
        <f>A14+$B$10</f>
        <v>20</v>
      </c>
      <c r="E14">
        <f>B14+$B$10*C14</f>
        <v>5.5583131515191475</v>
      </c>
      <c r="F14">
        <f>0.3*E14^(3/4)*(1-(E14/300)^(1/4))</f>
        <v>0.68532936995091265</v>
      </c>
      <c r="G14">
        <f>B14+($B$10/2)*(C14+F14)</f>
        <v>10.132450275268699</v>
      </c>
      <c r="H14">
        <f>(300^(1/4)+(1-300^(1/4))*EXP(-0.3*D14/(4*300^(1/4))))^4</f>
        <v>14.66218192543435</v>
      </c>
      <c r="I14">
        <f>ABS(H14-G14)</f>
        <v>4.529731650165651</v>
      </c>
      <c r="J14">
        <f>I14/ABS(H14)</f>
        <v>0.30893980672194277</v>
      </c>
      <c r="K14">
        <f>J14*100</f>
        <v>30.893980672194278</v>
      </c>
    </row>
    <row r="15" spans="1:11" x14ac:dyDescent="0.25">
      <c r="A15">
        <f>D14</f>
        <v>20</v>
      </c>
      <c r="B15">
        <f>G14</f>
        <v>10.132450275268699</v>
      </c>
      <c r="C15">
        <f>0.3*B15^(3/4)*(1-(B15/300)^(1/4))</f>
        <v>0.97336387570737837</v>
      </c>
      <c r="D15">
        <f>A15+$B$10</f>
        <v>40</v>
      </c>
      <c r="E15">
        <f>B15+$B$10*C15</f>
        <v>29.599727789416267</v>
      </c>
      <c r="F15">
        <f>0.3*E15^(3/4)*(1-(E15/300)^(1/4))</f>
        <v>1.673359603333598</v>
      </c>
      <c r="G15">
        <f>B15+($B$10/2)*(C15+F15)</f>
        <v>36.599685065678457</v>
      </c>
      <c r="H15">
        <f>(300^(1/4)+(1-300^(1/4))*EXP(-0.3*D15/(4*300^(1/4))))^4</f>
        <v>47.414171381012579</v>
      </c>
      <c r="I15">
        <f>ABS(H15-G15)</f>
        <v>10.814486315334122</v>
      </c>
      <c r="J15">
        <f>I15/ABS(H15)</f>
        <v>0.22808552802559107</v>
      </c>
      <c r="K15">
        <f>J15*100</f>
        <v>22.808552802559106</v>
      </c>
    </row>
    <row r="16" spans="1:11" x14ac:dyDescent="0.25">
      <c r="A16">
        <f t="shared" ref="A16:A32" si="0">D15</f>
        <v>40</v>
      </c>
      <c r="B16">
        <f t="shared" ref="B16:B32" si="1">G15</f>
        <v>36.599685065678457</v>
      </c>
      <c r="C16">
        <f t="shared" ref="C16:C32" si="2">0.3*B16^(3/4)*(1-(B16/300)^(1/4))</f>
        <v>1.8257879861688631</v>
      </c>
      <c r="D16">
        <f t="shared" ref="D16:D32" si="3">A16+$B$10</f>
        <v>60</v>
      </c>
      <c r="E16">
        <f t="shared" ref="E16:E32" si="4">B16+$B$10*C16</f>
        <v>73.115444789055715</v>
      </c>
      <c r="F16">
        <f t="shared" ref="F16:F32" si="5">0.3*E16^(3/4)*(1-(E16/300)^(1/4))</f>
        <v>2.2306755481245117</v>
      </c>
      <c r="G16">
        <f t="shared" ref="G16:G32" si="6">B16+($B$10/2)*(C16+F16)</f>
        <v>77.164320408612213</v>
      </c>
      <c r="H16">
        <f t="shared" ref="H16:H32" si="7">(300^(1/4)+(1-300^(1/4))*EXP(-0.3*D16/(4*300^(1/4))))^4</f>
        <v>91.097640206791141</v>
      </c>
      <c r="I16">
        <f t="shared" ref="I16:I32" si="8">ABS(H16-G16)</f>
        <v>13.933319798178928</v>
      </c>
      <c r="J16">
        <f t="shared" ref="J16:J32" si="9">I16/ABS(H16)</f>
        <v>0.1529492944773363</v>
      </c>
      <c r="K16">
        <f t="shared" ref="K16:K32" si="10">J16*100</f>
        <v>15.29492944773363</v>
      </c>
    </row>
    <row r="17" spans="1:11" x14ac:dyDescent="0.25">
      <c r="A17">
        <f t="shared" si="0"/>
        <v>60</v>
      </c>
      <c r="B17">
        <f t="shared" si="1"/>
        <v>77.164320408612213</v>
      </c>
      <c r="C17">
        <f t="shared" si="2"/>
        <v>2.2482473852049734</v>
      </c>
      <c r="D17">
        <f t="shared" si="3"/>
        <v>80</v>
      </c>
      <c r="E17">
        <f t="shared" si="4"/>
        <v>122.12926811271169</v>
      </c>
      <c r="F17">
        <f t="shared" si="5"/>
        <v>2.2177744066378069</v>
      </c>
      <c r="G17">
        <f t="shared" si="6"/>
        <v>121.82453832704002</v>
      </c>
      <c r="H17">
        <f t="shared" si="7"/>
        <v>135.83836700992967</v>
      </c>
      <c r="I17">
        <f t="shared" si="8"/>
        <v>14.013828682889653</v>
      </c>
      <c r="J17">
        <f t="shared" si="9"/>
        <v>0.10316546783770783</v>
      </c>
      <c r="K17">
        <f t="shared" si="10"/>
        <v>10.316546783770782</v>
      </c>
    </row>
    <row r="18" spans="1:11" x14ac:dyDescent="0.25">
      <c r="A18">
        <f t="shared" si="0"/>
        <v>80</v>
      </c>
      <c r="B18">
        <f t="shared" si="1"/>
        <v>121.82453832704002</v>
      </c>
      <c r="C18">
        <f t="shared" si="2"/>
        <v>2.2191092832771306</v>
      </c>
      <c r="D18">
        <f t="shared" si="3"/>
        <v>100</v>
      </c>
      <c r="E18">
        <f t="shared" si="4"/>
        <v>166.20672399258262</v>
      </c>
      <c r="F18">
        <f t="shared" si="5"/>
        <v>1.9060739739658941</v>
      </c>
      <c r="G18">
        <f t="shared" si="6"/>
        <v>163.07637089947025</v>
      </c>
      <c r="H18">
        <f t="shared" si="7"/>
        <v>175.60046114433572</v>
      </c>
      <c r="I18">
        <f t="shared" si="8"/>
        <v>12.524090244865477</v>
      </c>
      <c r="J18">
        <f t="shared" si="9"/>
        <v>7.1321511135276766E-2</v>
      </c>
      <c r="K18">
        <f t="shared" si="10"/>
        <v>7.1321511135276765</v>
      </c>
    </row>
    <row r="19" spans="1:11" x14ac:dyDescent="0.25">
      <c r="A19">
        <f t="shared" si="0"/>
        <v>100</v>
      </c>
      <c r="B19">
        <f t="shared" si="1"/>
        <v>163.07637089947025</v>
      </c>
      <c r="C19">
        <f t="shared" si="2"/>
        <v>1.9350964740525884</v>
      </c>
      <c r="D19">
        <f t="shared" si="3"/>
        <v>120</v>
      </c>
      <c r="E19">
        <f t="shared" si="4"/>
        <v>201.77830038052201</v>
      </c>
      <c r="F19">
        <f t="shared" si="5"/>
        <v>1.5161109602383223</v>
      </c>
      <c r="G19">
        <f t="shared" si="6"/>
        <v>197.58844524237935</v>
      </c>
      <c r="H19">
        <f t="shared" si="7"/>
        <v>208.09226689289264</v>
      </c>
      <c r="I19">
        <f t="shared" si="8"/>
        <v>10.503821650513288</v>
      </c>
      <c r="J19">
        <f t="shared" si="9"/>
        <v>5.0476751526378053E-2</v>
      </c>
      <c r="K19">
        <f t="shared" si="10"/>
        <v>5.0476751526378054</v>
      </c>
    </row>
    <row r="20" spans="1:11" x14ac:dyDescent="0.25">
      <c r="A20">
        <f t="shared" si="0"/>
        <v>120</v>
      </c>
      <c r="B20">
        <f t="shared" si="1"/>
        <v>197.58844524237935</v>
      </c>
      <c r="C20">
        <f t="shared" si="2"/>
        <v>1.5673506549835794</v>
      </c>
      <c r="D20">
        <f t="shared" si="3"/>
        <v>140</v>
      </c>
      <c r="E20">
        <f t="shared" si="4"/>
        <v>228.93545834205094</v>
      </c>
      <c r="F20">
        <f t="shared" si="5"/>
        <v>1.1538962949754361</v>
      </c>
      <c r="G20">
        <f t="shared" si="6"/>
        <v>224.80091474196951</v>
      </c>
      <c r="H20">
        <f t="shared" si="7"/>
        <v>233.2827329567624</v>
      </c>
      <c r="I20">
        <f t="shared" si="8"/>
        <v>8.4818182147928951</v>
      </c>
      <c r="J20">
        <f t="shared" si="9"/>
        <v>3.635853415848378E-2</v>
      </c>
      <c r="K20">
        <f t="shared" si="10"/>
        <v>3.635853415848378</v>
      </c>
    </row>
    <row r="21" spans="1:11" x14ac:dyDescent="0.25">
      <c r="A21">
        <f t="shared" si="0"/>
        <v>140</v>
      </c>
      <c r="B21">
        <f t="shared" si="1"/>
        <v>224.80091474196951</v>
      </c>
      <c r="C21">
        <f t="shared" si="2"/>
        <v>1.2122318544187856</v>
      </c>
      <c r="D21">
        <f t="shared" si="3"/>
        <v>160</v>
      </c>
      <c r="E21">
        <f t="shared" si="4"/>
        <v>249.04555183034523</v>
      </c>
      <c r="F21">
        <f t="shared" si="5"/>
        <v>0.85518381680945721</v>
      </c>
      <c r="G21">
        <f t="shared" si="6"/>
        <v>245.47507145425195</v>
      </c>
      <c r="H21">
        <f t="shared" si="7"/>
        <v>252.15694606615767</v>
      </c>
      <c r="I21">
        <f t="shared" si="8"/>
        <v>6.6818746119057266</v>
      </c>
      <c r="J21">
        <f t="shared" si="9"/>
        <v>2.6498871897634037E-2</v>
      </c>
      <c r="K21">
        <f t="shared" si="10"/>
        <v>2.6498871897634038</v>
      </c>
    </row>
    <row r="22" spans="1:11" x14ac:dyDescent="0.25">
      <c r="A22">
        <f t="shared" si="0"/>
        <v>160</v>
      </c>
      <c r="B22">
        <f t="shared" si="1"/>
        <v>245.47507145425195</v>
      </c>
      <c r="C22">
        <f t="shared" si="2"/>
        <v>0.90996780210288386</v>
      </c>
      <c r="D22">
        <f t="shared" si="3"/>
        <v>180</v>
      </c>
      <c r="E22">
        <f t="shared" si="4"/>
        <v>263.67442749630965</v>
      </c>
      <c r="F22">
        <f t="shared" si="5"/>
        <v>0.62329104833318216</v>
      </c>
      <c r="G22">
        <f t="shared" si="6"/>
        <v>260.80765995861259</v>
      </c>
      <c r="H22">
        <f t="shared" si="7"/>
        <v>265.98141977142052</v>
      </c>
      <c r="I22">
        <f t="shared" si="8"/>
        <v>5.1737598128079298</v>
      </c>
      <c r="J22">
        <f t="shared" si="9"/>
        <v>1.9451583562694576E-2</v>
      </c>
      <c r="K22">
        <f t="shared" si="10"/>
        <v>1.9451583562694577</v>
      </c>
    </row>
    <row r="23" spans="1:11" x14ac:dyDescent="0.25">
      <c r="A23">
        <f t="shared" si="0"/>
        <v>180</v>
      </c>
      <c r="B23">
        <f t="shared" si="1"/>
        <v>260.80765995861259</v>
      </c>
      <c r="C23">
        <f t="shared" si="2"/>
        <v>0.66965228728522619</v>
      </c>
      <c r="D23">
        <f t="shared" si="3"/>
        <v>200</v>
      </c>
      <c r="E23">
        <f t="shared" si="4"/>
        <v>274.2007057043171</v>
      </c>
      <c r="F23">
        <f t="shared" si="5"/>
        <v>0.4493728737862614</v>
      </c>
      <c r="G23">
        <f t="shared" si="6"/>
        <v>271.99791156932747</v>
      </c>
      <c r="H23">
        <f t="shared" si="7"/>
        <v>275.953388230754</v>
      </c>
      <c r="I23">
        <f t="shared" si="8"/>
        <v>3.9554766614265304</v>
      </c>
      <c r="J23">
        <f t="shared" si="9"/>
        <v>1.4333857927190715E-2</v>
      </c>
      <c r="K23">
        <f t="shared" si="10"/>
        <v>1.4333857927190714</v>
      </c>
    </row>
    <row r="24" spans="1:11" x14ac:dyDescent="0.25">
      <c r="A24">
        <f t="shared" si="0"/>
        <v>200</v>
      </c>
      <c r="B24">
        <f t="shared" si="1"/>
        <v>271.99791156932747</v>
      </c>
      <c r="C24">
        <f t="shared" si="2"/>
        <v>0.48623936513128874</v>
      </c>
      <c r="D24">
        <f t="shared" si="3"/>
        <v>220</v>
      </c>
      <c r="E24">
        <f t="shared" si="4"/>
        <v>281.72269887195324</v>
      </c>
      <c r="F24">
        <f t="shared" si="5"/>
        <v>0.32165381497413315</v>
      </c>
      <c r="G24">
        <f t="shared" si="6"/>
        <v>280.07684337038171</v>
      </c>
      <c r="H24">
        <f t="shared" si="7"/>
        <v>283.07177753248936</v>
      </c>
      <c r="I24">
        <f t="shared" si="8"/>
        <v>2.9949341621076542</v>
      </c>
      <c r="J24">
        <f t="shared" si="9"/>
        <v>1.0580122780922279E-2</v>
      </c>
      <c r="K24">
        <f t="shared" si="10"/>
        <v>1.0580122780922279</v>
      </c>
    </row>
    <row r="25" spans="1:11" x14ac:dyDescent="0.25">
      <c r="A25">
        <f t="shared" si="0"/>
        <v>220</v>
      </c>
      <c r="B25">
        <f t="shared" si="1"/>
        <v>280.07684337038171</v>
      </c>
      <c r="C25">
        <f t="shared" si="2"/>
        <v>0.34983839518165255</v>
      </c>
      <c r="D25">
        <f t="shared" si="3"/>
        <v>240</v>
      </c>
      <c r="E25">
        <f t="shared" si="4"/>
        <v>287.07361127401475</v>
      </c>
      <c r="F25">
        <f t="shared" si="5"/>
        <v>0.22911433367455178</v>
      </c>
      <c r="G25">
        <f t="shared" si="6"/>
        <v>285.86637065894377</v>
      </c>
      <c r="H25">
        <f t="shared" si="7"/>
        <v>288.11690033091929</v>
      </c>
      <c r="I25">
        <f t="shared" si="8"/>
        <v>2.2505296719755279</v>
      </c>
      <c r="J25">
        <f t="shared" si="9"/>
        <v>7.8111685548145965E-3</v>
      </c>
      <c r="K25">
        <f t="shared" si="10"/>
        <v>0.78111685548145959</v>
      </c>
    </row>
    <row r="26" spans="1:11" x14ac:dyDescent="0.25">
      <c r="A26">
        <f t="shared" si="0"/>
        <v>240</v>
      </c>
      <c r="B26">
        <f t="shared" si="1"/>
        <v>285.86637065894377</v>
      </c>
      <c r="C26">
        <f t="shared" si="2"/>
        <v>0.25011274363100744</v>
      </c>
      <c r="D26">
        <f t="shared" si="3"/>
        <v>260</v>
      </c>
      <c r="E26">
        <f t="shared" si="4"/>
        <v>290.86862553156391</v>
      </c>
      <c r="F26">
        <f t="shared" si="5"/>
        <v>0.16265475082197023</v>
      </c>
      <c r="G26">
        <f t="shared" si="6"/>
        <v>289.99404560347352</v>
      </c>
      <c r="H26">
        <f t="shared" si="7"/>
        <v>291.67498123996745</v>
      </c>
      <c r="I26">
        <f t="shared" si="8"/>
        <v>1.6809356364939276</v>
      </c>
      <c r="J26">
        <f t="shared" si="9"/>
        <v>5.7630436088413929E-3</v>
      </c>
      <c r="K26">
        <f t="shared" si="10"/>
        <v>0.57630436088413928</v>
      </c>
    </row>
    <row r="27" spans="1:11" x14ac:dyDescent="0.25">
      <c r="A27">
        <f t="shared" si="0"/>
        <v>260</v>
      </c>
      <c r="B27">
        <f t="shared" si="1"/>
        <v>289.99404560347352</v>
      </c>
      <c r="C27">
        <f t="shared" si="2"/>
        <v>0.17803089802558028</v>
      </c>
      <c r="D27">
        <f t="shared" si="3"/>
        <v>280</v>
      </c>
      <c r="E27">
        <f t="shared" si="4"/>
        <v>293.55466356398512</v>
      </c>
      <c r="F27">
        <f t="shared" si="5"/>
        <v>0.1152076817976783</v>
      </c>
      <c r="G27">
        <f t="shared" si="6"/>
        <v>292.92643140170611</v>
      </c>
      <c r="H27">
        <f t="shared" si="7"/>
        <v>294.1757563830904</v>
      </c>
      <c r="I27">
        <f t="shared" si="8"/>
        <v>1.2493249813842908</v>
      </c>
      <c r="J27">
        <f t="shared" si="9"/>
        <v>4.2468658761851104E-3</v>
      </c>
      <c r="K27">
        <f t="shared" si="10"/>
        <v>0.42468658761851102</v>
      </c>
    </row>
    <row r="28" spans="1:11" x14ac:dyDescent="0.25">
      <c r="A28">
        <f t="shared" si="0"/>
        <v>280</v>
      </c>
      <c r="B28">
        <f t="shared" si="1"/>
        <v>292.92643140170611</v>
      </c>
      <c r="C28">
        <f t="shared" si="2"/>
        <v>0.12633504820211852</v>
      </c>
      <c r="D28">
        <f t="shared" si="3"/>
        <v>300</v>
      </c>
      <c r="E28">
        <f t="shared" si="4"/>
        <v>295.4531323657485</v>
      </c>
      <c r="F28">
        <f t="shared" si="5"/>
        <v>8.1470814526862903E-2</v>
      </c>
      <c r="G28">
        <f t="shared" si="6"/>
        <v>295.00449002899592</v>
      </c>
      <c r="H28">
        <f t="shared" si="7"/>
        <v>295.92924564874346</v>
      </c>
      <c r="I28">
        <f t="shared" si="8"/>
        <v>0.92475561974754328</v>
      </c>
      <c r="J28">
        <f t="shared" si="9"/>
        <v>3.1249213565231479E-3</v>
      </c>
      <c r="K28">
        <f t="shared" si="10"/>
        <v>0.31249213565231482</v>
      </c>
    </row>
    <row r="29" spans="1:11" x14ac:dyDescent="0.25">
      <c r="A29">
        <f t="shared" si="0"/>
        <v>300</v>
      </c>
      <c r="B29">
        <f t="shared" si="1"/>
        <v>295.00449002899592</v>
      </c>
      <c r="C29">
        <f t="shared" si="2"/>
        <v>8.945842766167536E-2</v>
      </c>
      <c r="D29">
        <f t="shared" si="3"/>
        <v>320</v>
      </c>
      <c r="E29">
        <f t="shared" si="4"/>
        <v>296.7936585822294</v>
      </c>
      <c r="F29">
        <f t="shared" si="5"/>
        <v>5.7549130586241684E-2</v>
      </c>
      <c r="G29">
        <f t="shared" si="6"/>
        <v>296.4745656114751</v>
      </c>
      <c r="H29">
        <f t="shared" si="7"/>
        <v>297.15672911573921</v>
      </c>
      <c r="I29">
        <f t="shared" si="8"/>
        <v>0.68216350426411054</v>
      </c>
      <c r="J29">
        <f t="shared" si="9"/>
        <v>2.2956353917814713E-3</v>
      </c>
      <c r="K29">
        <f t="shared" si="10"/>
        <v>0.22956353917814712</v>
      </c>
    </row>
    <row r="30" spans="1:11" x14ac:dyDescent="0.25">
      <c r="A30">
        <f t="shared" si="0"/>
        <v>320</v>
      </c>
      <c r="B30">
        <f t="shared" si="1"/>
        <v>296.4745656114751</v>
      </c>
      <c r="C30">
        <f t="shared" si="2"/>
        <v>6.3250801857504244E-2</v>
      </c>
      <c r="D30">
        <f t="shared" si="3"/>
        <v>340</v>
      </c>
      <c r="E30">
        <f t="shared" si="4"/>
        <v>297.73958164862518</v>
      </c>
      <c r="F30">
        <f t="shared" si="5"/>
        <v>4.0619731507916083E-2</v>
      </c>
      <c r="G30">
        <f t="shared" si="6"/>
        <v>297.51327094512931</v>
      </c>
      <c r="H30">
        <f t="shared" si="7"/>
        <v>298.01501147462045</v>
      </c>
      <c r="I30">
        <f t="shared" si="8"/>
        <v>0.50174052949114412</v>
      </c>
      <c r="J30">
        <f t="shared" si="9"/>
        <v>1.6836082417743354E-3</v>
      </c>
      <c r="K30">
        <f t="shared" si="10"/>
        <v>0.16836082417743353</v>
      </c>
    </row>
    <row r="31" spans="1:11" x14ac:dyDescent="0.25">
      <c r="A31">
        <f t="shared" si="0"/>
        <v>340</v>
      </c>
      <c r="B31">
        <f t="shared" si="1"/>
        <v>297.51327094512931</v>
      </c>
      <c r="C31">
        <f t="shared" si="2"/>
        <v>4.4673774843605671E-2</v>
      </c>
      <c r="D31">
        <f t="shared" si="3"/>
        <v>360</v>
      </c>
      <c r="E31">
        <f t="shared" si="4"/>
        <v>298.40674644200141</v>
      </c>
      <c r="F31">
        <f t="shared" si="5"/>
        <v>2.8654849659353814E-2</v>
      </c>
      <c r="G31">
        <f t="shared" si="6"/>
        <v>298.24655719015891</v>
      </c>
      <c r="H31">
        <f t="shared" si="7"/>
        <v>298.6146617495499</v>
      </c>
      <c r="I31">
        <f t="shared" si="8"/>
        <v>0.36810455939098574</v>
      </c>
      <c r="J31">
        <f t="shared" si="9"/>
        <v>1.2327075878803214E-3</v>
      </c>
      <c r="K31">
        <f t="shared" si="10"/>
        <v>0.12327075878803215</v>
      </c>
    </row>
    <row r="32" spans="1:11" x14ac:dyDescent="0.25">
      <c r="A32">
        <f t="shared" si="0"/>
        <v>360</v>
      </c>
      <c r="B32">
        <f t="shared" si="1"/>
        <v>298.24655719015891</v>
      </c>
      <c r="C32">
        <f t="shared" si="2"/>
        <v>3.152951508230227E-2</v>
      </c>
      <c r="D32">
        <f t="shared" si="3"/>
        <v>380</v>
      </c>
      <c r="E32">
        <f t="shared" si="4"/>
        <v>298.87714749180498</v>
      </c>
      <c r="F32">
        <f t="shared" si="5"/>
        <v>2.0206575607148215E-2</v>
      </c>
      <c r="G32">
        <f t="shared" si="6"/>
        <v>298.76391809705342</v>
      </c>
      <c r="H32">
        <f t="shared" si="7"/>
        <v>299.03338243464492</v>
      </c>
      <c r="I32">
        <f t="shared" si="8"/>
        <v>0.26946433759150068</v>
      </c>
      <c r="J32">
        <f t="shared" si="9"/>
        <v>9.0111791331656192E-4</v>
      </c>
      <c r="K32">
        <f t="shared" si="10"/>
        <v>9.0111791331656185E-2</v>
      </c>
    </row>
    <row r="33" spans="1:11" x14ac:dyDescent="0.25">
      <c r="A33" s="15">
        <f>D32</f>
        <v>380</v>
      </c>
      <c r="B33" s="15">
        <f>G32</f>
        <v>298.76391809705342</v>
      </c>
      <c r="C33" s="15">
        <f>0.3*B33^(3/4)*(1-(B33/300)^(1/4))</f>
        <v>2.2241060577177559E-2</v>
      </c>
      <c r="D33" s="15">
        <f>A33+$B$10</f>
        <v>400</v>
      </c>
      <c r="E33" s="15">
        <f>B33+$B$10*C33</f>
        <v>299.20873930859699</v>
      </c>
      <c r="F33" s="15">
        <f>0.3*E33^(3/4)*(1-(E33/300)^(1/4))</f>
        <v>1.4245257528636852E-2</v>
      </c>
      <c r="G33" s="15">
        <f>B33+($B$10/2)*(C33+F33)</f>
        <v>299.12878127811155</v>
      </c>
      <c r="H33" s="15">
        <f>(300^(1/4)+(1-300^(1/4))*EXP(-0.3*D33/(4*300^(1/4))))^4</f>
        <v>299.32565129174293</v>
      </c>
      <c r="I33" s="15">
        <f>ABS(H33-G33)</f>
        <v>0.19687001363138279</v>
      </c>
      <c r="J33" s="15">
        <f>I33/ABS(H33)</f>
        <v>6.5771180245257374E-4</v>
      </c>
      <c r="K33" s="15">
        <f>J33*100</f>
        <v>6.5771180245257369E-2</v>
      </c>
    </row>
    <row r="36" spans="1:11" x14ac:dyDescent="0.25">
      <c r="F36" s="5" t="s">
        <v>19</v>
      </c>
      <c r="G36" s="5"/>
      <c r="H36" s="6">
        <f>G33</f>
        <v>299.12878127811155</v>
      </c>
    </row>
  </sheetData>
  <mergeCells count="2">
    <mergeCell ref="A1:K1"/>
    <mergeCell ref="F36:G3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1942-C20A-4ECB-BAE7-E6C864625B6F}">
  <dimension ref="A1:I33"/>
  <sheetViews>
    <sheetView workbookViewId="0">
      <selection activeCell="I33" sqref="A33:I33"/>
    </sheetView>
  </sheetViews>
  <sheetFormatPr baseColWidth="10" defaultColWidth="9.140625" defaultRowHeight="15" x14ac:dyDescent="0.25"/>
  <cols>
    <col min="5" max="5" width="15.7109375" customWidth="1"/>
    <col min="6" max="6" width="18.28515625" customWidth="1"/>
    <col min="7" max="7" width="14" customWidth="1"/>
    <col min="8" max="8" width="13.140625" customWidth="1"/>
    <col min="9" max="9" width="14.7109375" customWidth="1"/>
  </cols>
  <sheetData>
    <row r="1" spans="1:9" ht="21" x14ac:dyDescent="0.35">
      <c r="A1" s="7" t="s">
        <v>20</v>
      </c>
      <c r="B1" s="8"/>
      <c r="C1" s="8"/>
      <c r="D1" s="8"/>
      <c r="E1" s="8"/>
      <c r="F1" s="8"/>
      <c r="G1" s="8"/>
      <c r="H1" s="8"/>
      <c r="I1" s="8"/>
    </row>
    <row r="3" spans="1:9" x14ac:dyDescent="0.25">
      <c r="A3" s="9" t="s">
        <v>1</v>
      </c>
      <c r="B3" s="9"/>
      <c r="C3" s="9"/>
      <c r="D3" s="9"/>
      <c r="E3" s="9"/>
    </row>
    <row r="4" spans="1:9" x14ac:dyDescent="0.25">
      <c r="A4" s="9" t="s">
        <v>2</v>
      </c>
      <c r="B4" s="9"/>
      <c r="C4" s="9"/>
      <c r="D4" s="9"/>
      <c r="E4" s="9"/>
    </row>
    <row r="5" spans="1:9" x14ac:dyDescent="0.25">
      <c r="A5" s="9" t="s">
        <v>21</v>
      </c>
      <c r="B5" s="9"/>
      <c r="C5" s="9"/>
      <c r="D5" s="9"/>
      <c r="E5" s="9"/>
    </row>
    <row r="7" spans="1:9" x14ac:dyDescent="0.25">
      <c r="A7" s="10" t="s">
        <v>4</v>
      </c>
      <c r="B7" s="10">
        <v>0</v>
      </c>
    </row>
    <row r="8" spans="1:9" x14ac:dyDescent="0.25">
      <c r="A8" s="10" t="s">
        <v>5</v>
      </c>
      <c r="B8" s="10">
        <v>400</v>
      </c>
    </row>
    <row r="9" spans="1:9" x14ac:dyDescent="0.25">
      <c r="A9" s="10" t="s">
        <v>6</v>
      </c>
      <c r="B9" s="10">
        <v>1</v>
      </c>
    </row>
    <row r="10" spans="1:9" x14ac:dyDescent="0.25">
      <c r="A10" s="10" t="s">
        <v>7</v>
      </c>
      <c r="B10" s="10">
        <v>20</v>
      </c>
    </row>
    <row r="13" spans="1:9" x14ac:dyDescent="0.25">
      <c r="A13" s="11" t="s">
        <v>8</v>
      </c>
      <c r="B13" s="11" t="s">
        <v>9</v>
      </c>
      <c r="C13" s="11" t="s">
        <v>22</v>
      </c>
      <c r="D13" s="11" t="s">
        <v>11</v>
      </c>
      <c r="E13" s="11" t="s">
        <v>23</v>
      </c>
      <c r="F13" s="11" t="s">
        <v>15</v>
      </c>
      <c r="G13" s="11" t="s">
        <v>16</v>
      </c>
      <c r="H13" s="11" t="s">
        <v>17</v>
      </c>
      <c r="I13" s="12" t="s">
        <v>24</v>
      </c>
    </row>
    <row r="14" spans="1:9" x14ac:dyDescent="0.25">
      <c r="A14" s="13">
        <f>$B$7</f>
        <v>0</v>
      </c>
      <c r="B14" s="13">
        <f>$B$9</f>
        <v>1</v>
      </c>
      <c r="C14" s="13">
        <f>0.3*B14^(3/4)*(1-(B14/300)^(1/4))</f>
        <v>0.22791565757595736</v>
      </c>
      <c r="D14" s="13">
        <f>A14+$B$10</f>
        <v>20</v>
      </c>
      <c r="E14" s="13">
        <f>B14+$B$10*C14</f>
        <v>5.5583131515191475</v>
      </c>
      <c r="F14" s="13">
        <f>(300^(1/4)+(1-300^(1/4))*EXP(-0.3*D14/(4*300^(1/4))))^4</f>
        <v>14.66218192543435</v>
      </c>
      <c r="G14" s="13">
        <f>ABS(F14-E14)</f>
        <v>9.1038687739152024</v>
      </c>
      <c r="H14" s="13">
        <f>G14/ABS(F14)</f>
        <v>0.62090818544017701</v>
      </c>
      <c r="I14" s="13">
        <f>H14*100</f>
        <v>62.090818544017701</v>
      </c>
    </row>
    <row r="15" spans="1:9" x14ac:dyDescent="0.25">
      <c r="A15" s="13">
        <f>D14</f>
        <v>20</v>
      </c>
      <c r="B15" s="13">
        <f>E14</f>
        <v>5.5583131515191475</v>
      </c>
      <c r="C15" s="13">
        <f>0.3*B15^(3/4)*(1-(B15/300)^(1/4))</f>
        <v>0.68532936995091265</v>
      </c>
      <c r="D15" s="13">
        <f>A15+$B$10</f>
        <v>40</v>
      </c>
      <c r="E15" s="13">
        <f>B15+$B$10*C15</f>
        <v>19.264900550537401</v>
      </c>
      <c r="F15" s="13">
        <f>(300^(1/4)+(1-300^(1/4))*EXP(-0.3*D15/(4*300^(1/4))))^4</f>
        <v>47.414171381012579</v>
      </c>
      <c r="G15" s="13">
        <f>ABS(F15-E15)</f>
        <v>28.149270830475178</v>
      </c>
      <c r="H15" s="13">
        <f>G15/ABS(F15)</f>
        <v>0.59368897548102673</v>
      </c>
      <c r="I15" s="13">
        <f>H15*100</f>
        <v>59.368897548102673</v>
      </c>
    </row>
    <row r="16" spans="1:9" x14ac:dyDescent="0.25">
      <c r="A16" s="13">
        <f t="shared" ref="A16:B31" si="0">D15</f>
        <v>40</v>
      </c>
      <c r="B16" s="13">
        <f t="shared" si="0"/>
        <v>19.264900550537401</v>
      </c>
      <c r="C16" s="13">
        <f t="shared" ref="C16:C33" si="1">0.3*B16^(3/4)*(1-(B16/300)^(1/4))</f>
        <v>1.3699505959437464</v>
      </c>
      <c r="D16" s="13">
        <f t="shared" ref="D16:D33" si="2">A16+$B$10</f>
        <v>60</v>
      </c>
      <c r="E16" s="13">
        <f t="shared" ref="E16:E33" si="3">B16+$B$10*C16</f>
        <v>46.663912469412324</v>
      </c>
      <c r="F16" s="13">
        <f t="shared" ref="F16:F33" si="4">(300^(1/4)+(1-300^(1/4))*EXP(-0.3*D16/(4*300^(1/4))))^4</f>
        <v>91.097640206791141</v>
      </c>
      <c r="G16" s="13">
        <f t="shared" ref="G16:G33" si="5">ABS(F16-E16)</f>
        <v>44.433727737378817</v>
      </c>
      <c r="H16" s="13">
        <f t="shared" ref="H16:H33" si="6">G16/ABS(F16)</f>
        <v>0.48775937155468024</v>
      </c>
      <c r="I16" s="13">
        <f t="shared" ref="I16:I33" si="7">H16*100</f>
        <v>48.775937155468021</v>
      </c>
    </row>
    <row r="17" spans="1:9" x14ac:dyDescent="0.25">
      <c r="A17" s="13">
        <f t="shared" si="0"/>
        <v>60</v>
      </c>
      <c r="B17" s="13">
        <f t="shared" si="0"/>
        <v>46.663912469412324</v>
      </c>
      <c r="C17" s="13">
        <f t="shared" si="1"/>
        <v>1.9924666388564238</v>
      </c>
      <c r="D17" s="13">
        <f t="shared" si="2"/>
        <v>80</v>
      </c>
      <c r="E17" s="13">
        <f t="shared" si="3"/>
        <v>86.513245246540805</v>
      </c>
      <c r="F17" s="13">
        <f t="shared" si="4"/>
        <v>135.83836700992967</v>
      </c>
      <c r="G17" s="13">
        <f t="shared" si="5"/>
        <v>49.325121763388864</v>
      </c>
      <c r="H17" s="13">
        <f t="shared" si="6"/>
        <v>0.36311627450426609</v>
      </c>
      <c r="I17" s="13">
        <f t="shared" si="7"/>
        <v>36.311627450426606</v>
      </c>
    </row>
    <row r="18" spans="1:9" x14ac:dyDescent="0.25">
      <c r="A18" s="13">
        <f t="shared" si="0"/>
        <v>80</v>
      </c>
      <c r="B18" s="13">
        <f t="shared" si="0"/>
        <v>86.513245246540805</v>
      </c>
      <c r="C18" s="13">
        <f t="shared" si="1"/>
        <v>2.2738210721049352</v>
      </c>
      <c r="D18" s="13">
        <f t="shared" si="2"/>
        <v>100</v>
      </c>
      <c r="E18" s="13">
        <f t="shared" si="3"/>
        <v>131.98966668863952</v>
      </c>
      <c r="F18" s="13">
        <f t="shared" si="4"/>
        <v>175.60046114433572</v>
      </c>
      <c r="G18" s="13">
        <f t="shared" si="5"/>
        <v>43.610794455696208</v>
      </c>
      <c r="H18" s="13">
        <f t="shared" si="6"/>
        <v>0.24835239139748094</v>
      </c>
      <c r="I18" s="13">
        <f t="shared" si="7"/>
        <v>24.835239139748094</v>
      </c>
    </row>
    <row r="19" spans="1:9" x14ac:dyDescent="0.25">
      <c r="A19" s="13">
        <f t="shared" si="0"/>
        <v>100</v>
      </c>
      <c r="B19" s="13">
        <f t="shared" si="0"/>
        <v>131.98966668863952</v>
      </c>
      <c r="C19" s="13">
        <f t="shared" si="1"/>
        <v>2.1678538134954848</v>
      </c>
      <c r="D19" s="13">
        <f t="shared" si="2"/>
        <v>120</v>
      </c>
      <c r="E19" s="13">
        <f t="shared" si="3"/>
        <v>175.34674295854921</v>
      </c>
      <c r="F19" s="13">
        <f t="shared" si="4"/>
        <v>208.09226689289264</v>
      </c>
      <c r="G19" s="13">
        <f t="shared" si="5"/>
        <v>32.745523934343424</v>
      </c>
      <c r="H19" s="13">
        <f t="shared" si="6"/>
        <v>0.15736059981122655</v>
      </c>
      <c r="I19" s="13">
        <f t="shared" si="7"/>
        <v>15.736059981122654</v>
      </c>
    </row>
    <row r="20" spans="1:9" x14ac:dyDescent="0.25">
      <c r="A20" s="13">
        <f t="shared" si="0"/>
        <v>120</v>
      </c>
      <c r="B20" s="13">
        <f t="shared" si="0"/>
        <v>175.34674295854921</v>
      </c>
      <c r="C20" s="13">
        <f t="shared" si="1"/>
        <v>1.8161252638094023</v>
      </c>
      <c r="D20" s="13">
        <f t="shared" si="2"/>
        <v>140</v>
      </c>
      <c r="E20" s="13">
        <f t="shared" si="3"/>
        <v>211.66924823473727</v>
      </c>
      <c r="F20" s="13">
        <f t="shared" si="4"/>
        <v>233.2827329567624</v>
      </c>
      <c r="G20" s="13">
        <f t="shared" si="5"/>
        <v>21.613484722025134</v>
      </c>
      <c r="H20" s="13">
        <f t="shared" si="6"/>
        <v>9.2649312051874266E-2</v>
      </c>
      <c r="I20" s="13">
        <f t="shared" si="7"/>
        <v>9.2649312051874269</v>
      </c>
    </row>
    <row r="21" spans="1:9" x14ac:dyDescent="0.25">
      <c r="A21" s="13">
        <f t="shared" si="0"/>
        <v>140</v>
      </c>
      <c r="B21" s="13">
        <f t="shared" si="0"/>
        <v>211.66924823473727</v>
      </c>
      <c r="C21" s="13">
        <f t="shared" si="1"/>
        <v>1.3900577632689497</v>
      </c>
      <c r="D21" s="13">
        <f t="shared" si="2"/>
        <v>160</v>
      </c>
      <c r="E21" s="13">
        <f t="shared" si="3"/>
        <v>239.47040350011628</v>
      </c>
      <c r="F21" s="13">
        <f t="shared" si="4"/>
        <v>252.15694606615767</v>
      </c>
      <c r="G21" s="13">
        <f t="shared" si="5"/>
        <v>12.686542566041396</v>
      </c>
      <c r="H21" s="13">
        <f t="shared" si="6"/>
        <v>5.0312088419380147E-2</v>
      </c>
      <c r="I21" s="13">
        <f t="shared" si="7"/>
        <v>5.0312088419380148</v>
      </c>
    </row>
    <row r="22" spans="1:9" x14ac:dyDescent="0.25">
      <c r="A22" s="13">
        <f t="shared" si="0"/>
        <v>160</v>
      </c>
      <c r="B22" s="13">
        <f t="shared" si="0"/>
        <v>239.47040350011628</v>
      </c>
      <c r="C22" s="13">
        <f t="shared" si="1"/>
        <v>1.0004296598821079</v>
      </c>
      <c r="D22" s="13">
        <f t="shared" si="2"/>
        <v>180</v>
      </c>
      <c r="E22" s="13">
        <f t="shared" si="3"/>
        <v>259.47899669775842</v>
      </c>
      <c r="F22" s="13">
        <f t="shared" si="4"/>
        <v>265.98141977142052</v>
      </c>
      <c r="G22" s="13">
        <f t="shared" si="5"/>
        <v>6.5024230736621007</v>
      </c>
      <c r="H22" s="13">
        <f t="shared" si="6"/>
        <v>2.4446907153327334E-2</v>
      </c>
      <c r="I22" s="13">
        <f t="shared" si="7"/>
        <v>2.4446907153327335</v>
      </c>
    </row>
    <row r="23" spans="1:9" x14ac:dyDescent="0.25">
      <c r="A23" s="13">
        <f t="shared" si="0"/>
        <v>180</v>
      </c>
      <c r="B23" s="13">
        <f t="shared" si="0"/>
        <v>259.47899669775842</v>
      </c>
      <c r="C23" s="13">
        <f t="shared" si="1"/>
        <v>0.69099015223583515</v>
      </c>
      <c r="D23" s="13">
        <f t="shared" si="2"/>
        <v>200</v>
      </c>
      <c r="E23" s="13">
        <f t="shared" si="3"/>
        <v>273.29879974247513</v>
      </c>
      <c r="F23" s="13">
        <f t="shared" si="4"/>
        <v>275.953388230754</v>
      </c>
      <c r="G23" s="13">
        <f t="shared" si="5"/>
        <v>2.6545884882788755</v>
      </c>
      <c r="H23" s="13">
        <f t="shared" si="6"/>
        <v>9.6196988386281074E-3</v>
      </c>
      <c r="I23" s="13">
        <f t="shared" si="7"/>
        <v>0.96196988386281079</v>
      </c>
    </row>
    <row r="24" spans="1:9" x14ac:dyDescent="0.25">
      <c r="A24" s="13">
        <f t="shared" si="0"/>
        <v>200</v>
      </c>
      <c r="B24" s="13">
        <f t="shared" si="0"/>
        <v>273.29879974247513</v>
      </c>
      <c r="C24" s="13">
        <f t="shared" si="1"/>
        <v>0.4644971025290211</v>
      </c>
      <c r="D24" s="13">
        <f t="shared" si="2"/>
        <v>220</v>
      </c>
      <c r="E24" s="13">
        <f t="shared" si="3"/>
        <v>282.58874179305553</v>
      </c>
      <c r="F24" s="13">
        <f t="shared" si="4"/>
        <v>283.07177753248936</v>
      </c>
      <c r="G24" s="13">
        <f t="shared" si="5"/>
        <v>0.48303573943383071</v>
      </c>
      <c r="H24" s="13">
        <f t="shared" si="6"/>
        <v>1.7064072711324627E-3</v>
      </c>
      <c r="I24" s="13">
        <f t="shared" si="7"/>
        <v>0.17064072711324627</v>
      </c>
    </row>
    <row r="25" spans="1:9" x14ac:dyDescent="0.25">
      <c r="A25" s="13">
        <f t="shared" si="0"/>
        <v>220</v>
      </c>
      <c r="B25" s="13">
        <f t="shared" si="0"/>
        <v>282.58874179305553</v>
      </c>
      <c r="C25" s="13">
        <f t="shared" si="1"/>
        <v>0.30677012446643381</v>
      </c>
      <c r="D25" s="13">
        <f t="shared" si="2"/>
        <v>240</v>
      </c>
      <c r="E25" s="13">
        <f t="shared" si="3"/>
        <v>288.7241442823842</v>
      </c>
      <c r="F25" s="13">
        <f t="shared" si="4"/>
        <v>288.11690033091929</v>
      </c>
      <c r="G25" s="13">
        <f t="shared" si="5"/>
        <v>0.60724395146490906</v>
      </c>
      <c r="H25" s="13">
        <f t="shared" si="6"/>
        <v>2.1076304471117574E-3</v>
      </c>
      <c r="I25" s="13">
        <f t="shared" si="7"/>
        <v>0.21076304471117574</v>
      </c>
    </row>
    <row r="26" spans="1:9" x14ac:dyDescent="0.25">
      <c r="A26" s="13">
        <f t="shared" si="0"/>
        <v>240</v>
      </c>
      <c r="B26" s="13">
        <f t="shared" si="0"/>
        <v>288.7241442823842</v>
      </c>
      <c r="C26" s="13">
        <f t="shared" si="1"/>
        <v>0.20029322252933512</v>
      </c>
      <c r="D26" s="13">
        <f t="shared" si="2"/>
        <v>260</v>
      </c>
      <c r="E26" s="13">
        <f t="shared" si="3"/>
        <v>292.73000873297093</v>
      </c>
      <c r="F26" s="13">
        <f t="shared" si="4"/>
        <v>291.67498123996745</v>
      </c>
      <c r="G26" s="13">
        <f t="shared" si="5"/>
        <v>1.0550274930034789</v>
      </c>
      <c r="H26" s="13">
        <f t="shared" si="6"/>
        <v>3.6171340048376808E-3</v>
      </c>
      <c r="I26" s="13">
        <f t="shared" si="7"/>
        <v>0.3617134004837681</v>
      </c>
    </row>
    <row r="27" spans="1:9" x14ac:dyDescent="0.25">
      <c r="A27" s="13">
        <f t="shared" si="0"/>
        <v>260</v>
      </c>
      <c r="B27" s="13">
        <f t="shared" si="0"/>
        <v>292.73000873297093</v>
      </c>
      <c r="C27" s="13">
        <f t="shared" si="1"/>
        <v>0.12981036650860331</v>
      </c>
      <c r="D27" s="13">
        <f t="shared" si="2"/>
        <v>280</v>
      </c>
      <c r="E27" s="13">
        <f t="shared" si="3"/>
        <v>295.32621606314302</v>
      </c>
      <c r="F27" s="13">
        <f t="shared" si="4"/>
        <v>294.1757563830904</v>
      </c>
      <c r="G27" s="13">
        <f t="shared" si="5"/>
        <v>1.1504596800526201</v>
      </c>
      <c r="H27" s="13">
        <f t="shared" si="6"/>
        <v>3.9107902506909297E-3</v>
      </c>
      <c r="I27" s="13">
        <f t="shared" si="7"/>
        <v>0.39107902506909298</v>
      </c>
    </row>
    <row r="28" spans="1:9" x14ac:dyDescent="0.25">
      <c r="A28" s="13">
        <f t="shared" si="0"/>
        <v>280</v>
      </c>
      <c r="B28" s="13">
        <f t="shared" si="0"/>
        <v>295.32621606314302</v>
      </c>
      <c r="C28" s="13">
        <f t="shared" si="1"/>
        <v>8.3731366419139641E-2</v>
      </c>
      <c r="D28" s="13">
        <f t="shared" si="2"/>
        <v>300</v>
      </c>
      <c r="E28" s="13">
        <f t="shared" si="3"/>
        <v>297.00084339152579</v>
      </c>
      <c r="F28" s="13">
        <f t="shared" si="4"/>
        <v>295.92924564874346</v>
      </c>
      <c r="G28" s="13">
        <f t="shared" si="5"/>
        <v>1.0715977427823304</v>
      </c>
      <c r="H28" s="13">
        <f t="shared" si="6"/>
        <v>3.6211282208121983E-3</v>
      </c>
      <c r="I28" s="13">
        <f t="shared" si="7"/>
        <v>0.36211282208121981</v>
      </c>
    </row>
    <row r="29" spans="1:9" x14ac:dyDescent="0.25">
      <c r="A29" s="13">
        <f t="shared" si="0"/>
        <v>300</v>
      </c>
      <c r="B29" s="13">
        <f t="shared" si="0"/>
        <v>297.00084339152579</v>
      </c>
      <c r="C29" s="13">
        <f t="shared" si="1"/>
        <v>5.3844585945770483E-2</v>
      </c>
      <c r="D29" s="13">
        <f t="shared" si="2"/>
        <v>320</v>
      </c>
      <c r="E29" s="13">
        <f t="shared" si="3"/>
        <v>298.07773511044121</v>
      </c>
      <c r="F29" s="13">
        <f t="shared" si="4"/>
        <v>297.15672911573921</v>
      </c>
      <c r="G29" s="13">
        <f t="shared" si="5"/>
        <v>0.92100599470199995</v>
      </c>
      <c r="H29" s="13">
        <f t="shared" si="6"/>
        <v>3.0993947114799423E-3</v>
      </c>
      <c r="I29" s="13">
        <f t="shared" si="7"/>
        <v>0.30993947114799425</v>
      </c>
    </row>
    <row r="30" spans="1:9" x14ac:dyDescent="0.25">
      <c r="A30" s="13">
        <f t="shared" si="0"/>
        <v>320</v>
      </c>
      <c r="B30" s="13">
        <f t="shared" si="0"/>
        <v>298.07773511044121</v>
      </c>
      <c r="C30" s="13">
        <f t="shared" si="1"/>
        <v>3.4557839906450422E-2</v>
      </c>
      <c r="D30" s="13">
        <f t="shared" si="2"/>
        <v>340</v>
      </c>
      <c r="E30" s="13">
        <f t="shared" si="3"/>
        <v>298.7688919085702</v>
      </c>
      <c r="F30" s="13">
        <f t="shared" si="4"/>
        <v>298.01501147462045</v>
      </c>
      <c r="G30" s="13">
        <f t="shared" si="5"/>
        <v>0.75388043394974602</v>
      </c>
      <c r="H30" s="13">
        <f t="shared" si="6"/>
        <v>2.5296726840015171E-3</v>
      </c>
      <c r="I30" s="13">
        <f t="shared" si="7"/>
        <v>0.25296726840015171</v>
      </c>
    </row>
    <row r="31" spans="1:9" x14ac:dyDescent="0.25">
      <c r="A31" s="13">
        <f t="shared" si="0"/>
        <v>340</v>
      </c>
      <c r="B31" s="13">
        <f t="shared" si="0"/>
        <v>298.7688919085702</v>
      </c>
      <c r="C31" s="13">
        <f t="shared" si="1"/>
        <v>2.2151704235205048E-2</v>
      </c>
      <c r="D31" s="13">
        <f t="shared" si="2"/>
        <v>360</v>
      </c>
      <c r="E31" s="13">
        <f t="shared" si="3"/>
        <v>299.21192599327429</v>
      </c>
      <c r="F31" s="13">
        <f t="shared" si="4"/>
        <v>298.6146617495499</v>
      </c>
      <c r="G31" s="13">
        <f t="shared" si="5"/>
        <v>0.59726424372439624</v>
      </c>
      <c r="H31" s="13">
        <f t="shared" si="6"/>
        <v>2.0001169407593447E-3</v>
      </c>
      <c r="I31" s="13">
        <f t="shared" si="7"/>
        <v>0.20001169407593447</v>
      </c>
    </row>
    <row r="32" spans="1:9" x14ac:dyDescent="0.25">
      <c r="A32" s="13">
        <f t="shared" ref="A32:B41" si="8">D31</f>
        <v>360</v>
      </c>
      <c r="B32" s="13">
        <f t="shared" si="8"/>
        <v>299.21192599327429</v>
      </c>
      <c r="C32" s="13">
        <f t="shared" si="1"/>
        <v>1.4187943569736653E-2</v>
      </c>
      <c r="D32" s="13">
        <f t="shared" si="2"/>
        <v>380</v>
      </c>
      <c r="E32" s="13">
        <f t="shared" si="3"/>
        <v>299.49568486466904</v>
      </c>
      <c r="F32" s="13">
        <f t="shared" si="4"/>
        <v>299.03338243464492</v>
      </c>
      <c r="G32" s="13">
        <f t="shared" si="5"/>
        <v>0.46230243002412408</v>
      </c>
      <c r="H32" s="13">
        <f t="shared" si="6"/>
        <v>1.5459893683447275E-3</v>
      </c>
      <c r="I32" s="13">
        <f t="shared" si="7"/>
        <v>0.15459893683447276</v>
      </c>
    </row>
    <row r="33" spans="1:9" x14ac:dyDescent="0.25">
      <c r="A33" s="14">
        <f t="shared" si="8"/>
        <v>380</v>
      </c>
      <c r="B33" s="14">
        <f t="shared" si="8"/>
        <v>299.49568486466904</v>
      </c>
      <c r="C33" s="14">
        <f t="shared" si="1"/>
        <v>9.0825729964703027E-3</v>
      </c>
      <c r="D33" s="14">
        <f t="shared" si="2"/>
        <v>400</v>
      </c>
      <c r="E33" s="14">
        <f t="shared" si="3"/>
        <v>299.67733632459846</v>
      </c>
      <c r="F33" s="14">
        <f t="shared" si="4"/>
        <v>299.32565129174293</v>
      </c>
      <c r="G33" s="14">
        <f t="shared" si="5"/>
        <v>0.35168503285552788</v>
      </c>
      <c r="H33" s="14">
        <f t="shared" si="6"/>
        <v>1.174924472185486E-3</v>
      </c>
      <c r="I33" s="14">
        <f t="shared" si="7"/>
        <v>0.1174924472185486</v>
      </c>
    </row>
  </sheetData>
  <mergeCells count="4">
    <mergeCell ref="A1:I1"/>
    <mergeCell ref="A3:E3"/>
    <mergeCell ref="A4:E4"/>
    <mergeCell ref="A5:E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Heun_Organismo</vt:lpstr>
      <vt:lpstr>Euler_Organismo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 Jalid Tapia Cortez</dc:creator>
  <cp:lastModifiedBy>Genesis Jalid Tapia Cortez</cp:lastModifiedBy>
  <dcterms:created xsi:type="dcterms:W3CDTF">2025-12-03T05:27:36Z</dcterms:created>
  <dcterms:modified xsi:type="dcterms:W3CDTF">2025-12-03T05:29:36Z</dcterms:modified>
</cp:coreProperties>
</file>